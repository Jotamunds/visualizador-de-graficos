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d59e9275c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s" sheetId="1" r:id="R624fc1e4fb6a497b"/>
    <x:sheet xmlns:r="http://schemas.openxmlformats.org/officeDocument/2006/relationships" name="Ordens Producao" sheetId="2" r:id="R243a54997d214ba5"/>
    <x:sheet xmlns:r="http://schemas.openxmlformats.org/officeDocument/2006/relationships" name="Apontamentos Atraso" sheetId="3" r:id="R8267752abb2f4beb"/>
    <x:sheet xmlns:r="http://schemas.openxmlformats.org/officeDocument/2006/relationships" name="Materiais" sheetId="4" r:id="Rc7d52bb7d5cd4e5d"/>
    <x:sheet xmlns:r="http://schemas.openxmlformats.org/officeDocument/2006/relationships" name="Pedidos" sheetId="5" r:id="R2e6f0ee1b35248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#,##0.00"/>
    <x:numFmt numFmtId="201" formatCode="yyyy-mm-dd"/>
    <x:numFmt numFmtId="202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0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70b3b69ec448d" /><Relationship Type="http://schemas.openxmlformats.org/officeDocument/2006/relationships/theme" Target="/xl/theme/theme1.xml" Id="R0a5be99d86814422" /><Relationship Type="http://schemas.openxmlformats.org/officeDocument/2006/relationships/sharedStrings" Target="/xl/sharedStrings.xml" Id="Rc8c6a936b2b74c02" /><Relationship Type="http://schemas.openxmlformats.org/officeDocument/2006/relationships/worksheet" Target="/xl/worksheets/sheet1.xml" Id="R624fc1e4fb6a497b" /><Relationship Type="http://schemas.openxmlformats.org/officeDocument/2006/relationships/worksheet" Target="/xl/worksheets/sheet2.xml" Id="R243a54997d214ba5" /><Relationship Type="http://schemas.openxmlformats.org/officeDocument/2006/relationships/worksheet" Target="/xl/worksheets/sheet3.xml" Id="R8267752abb2f4beb" /><Relationship Type="http://schemas.openxmlformats.org/officeDocument/2006/relationships/worksheet" Target="/xl/worksheets/sheet4.xml" Id="Rc7d52bb7d5cd4e5d" /><Relationship Type="http://schemas.openxmlformats.org/officeDocument/2006/relationships/worksheet" Target="/xl/worksheets/sheet5.xml" Id="R2e6f0ee1b352484d" /></Relationships>
</file>

<file path=xl/tables/table1.xml><?xml version="1.0" encoding="utf-8"?>
<x:table xmlns:x="http://schemas.openxmlformats.org/spreadsheetml/2006/main" id="2" name="tbOrdensProducao" displayName="tbOrdensProducao" ref="A1:K31" headerRowCount="1" totalsRowCount="0" totalsRowShown="0">
  <x:tableColumns count="11">
    <x:tableColumn id="1" name="numero_ordem"/>
    <x:tableColumn id="2" name="material"/>
    <x:tableColumn id="3" name="familia"/>
    <x:tableColumn id="4" name="centro_trabalho"/>
    <x:tableColumn id="5" name="descricao_centro"/>
    <x:tableColumn id="6" name="quantidade_planejada"/>
    <x:tableColumn id="7" name="quantidade_produzida"/>
    <x:tableColumn id="8" name="data_criacao"/>
    <x:tableColumn id="9" name="data_planejada"/>
    <x:tableColumn id="10" name="data_real"/>
    <x:tableColumn id="11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bApontamentosAtraso" displayName="tbApontamentosAtraso" ref="A1:G19" headerRowCount="1" totalsRowCount="0" totalsRowShown="0">
  <x:tableColumns count="7">
    <x:tableColumn id="1" name="numero_ordem"/>
    <x:tableColumn id="2" name="centro_trabalho"/>
    <x:tableColumn id="3" name="cod_motivo"/>
    <x:tableColumn id="4" name="motivo_atraso"/>
    <x:tableColumn id="5" name="dias_atraso"/>
    <x:tableColumn id="6" name="prioridade"/>
    <x:tableColumn id="7" name="responsav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tbMateriaisPCP" displayName="tbMateriaisPCP" ref="A1:J13" headerRowCount="1" totalsRowCount="0" totalsRowShown="0">
  <x:tableColumns count="10">
    <x:tableColumn id="1" name="material"/>
    <x:tableColumn id="2" name="descricao"/>
    <x:tableColumn id="3" name="familia"/>
    <x:tableColumn id="4" name="cod_fornecedor"/>
    <x:tableColumn id="5" name="estoque_atual"/>
    <x:tableColumn id="6" name="estoque_seguranca"/>
    <x:tableColumn id="7" name="consumo_medio_diario"/>
    <x:tableColumn id="8" name="lead_time_dias"/>
    <x:tableColumn id="9" name="custo_unitario"/>
    <x:tableColumn id="10" name="forneced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PedidosPCP" displayName="tbPedidosPCP" ref="A1:I37" headerRowCount="1" totalsRowCount="0" totalsRowShown="0">
  <x:tableColumns count="9">
    <x:tableColumn id="1" name="pedido"/>
    <x:tableColumn id="2" name="cliente"/>
    <x:tableColumn id="3" name="material"/>
    <x:tableColumn id="4" name="familia"/>
    <x:tableColumn id="5" name="data_pedido"/>
    <x:tableColumn id="6" name="data_prometida"/>
    <x:tableColumn id="7" name="quantidade"/>
    <x:tableColumn id="8" name="valor_unitario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dbacee9e5a44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7e21a260a245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e7f7642e064b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563573809947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25" t="str">
        <x:v>PCP Analytics — indicadores da base fictícia</x:v>
      </x:c>
      <x:c r="B1" s="25" t="str">
        <x:v>PCP Analytics — indicadores da base fictícia</x:v>
      </x:c>
      <x:c r="C1" s="25" t="str">
        <x:v>PCP Analytics — indicadores da base fictícia</x:v>
      </x:c>
      <x:c r="D1" s="25" t="str">
        <x:v>PCP Analytics — indicadores da base fictícia</x:v>
      </x:c>
      <x:c r="E1" s="25" t="str">
        <x:v>PCP Analytics — indicadores da base fictícia</x:v>
      </x:c>
      <x:c r="F1" s="25" t="str">
        <x:v>PCP Analytics — indicadores da base fictícia</x:v>
      </x:c>
      <x:c r="G1" s="25" t="str">
        <x:v>PCP Analytics — indicadores da base fictícia</x:v>
      </x:c>
      <x:c r="H1" s="25" t="str">
        <x:v>PCP Analytics — indicadores da base fictícia</x:v>
      </x:c>
    </x:row>
    <x:row r="2" ht="38" customHeight="1">
      <x:c r="A2" s="28" t="str">
        <x:v>As quatro abas de dados possuem os mesmos campos dos CSVs utilizados pelo projeto Python/SQL.</x:v>
      </x:c>
      <x:c r="B2" s="28" t="str">
        <x:v>As quatro abas de dados possuem os mesmos campos dos CSVs utilizados pelo projeto Python/SQL.</x:v>
      </x:c>
      <x:c r="C2" s="28" t="str">
        <x:v>As quatro abas de dados possuem os mesmos campos dos CSVs utilizados pelo projeto Python/SQL.</x:v>
      </x:c>
      <x:c r="D2" s="28" t="str">
        <x:v>As quatro abas de dados possuem os mesmos campos dos CSVs utilizados pelo projeto Python/SQL.</x:v>
      </x:c>
      <x:c r="E2" s="28" t="str">
        <x:v>As quatro abas de dados possuem os mesmos campos dos CSVs utilizados pelo projeto Python/SQL.</x:v>
      </x:c>
      <x:c r="F2" s="28" t="str">
        <x:v>As quatro abas de dados possuem os mesmos campos dos CSVs utilizados pelo projeto Python/SQL.</x:v>
      </x:c>
      <x:c r="G2" s="28" t="str">
        <x:v>As quatro abas de dados possuem os mesmos campos dos CSVs utilizados pelo projeto Python/SQL.</x:v>
      </x:c>
      <x:c r="H2" s="28" t="str">
        <x:v>As quatro abas de dados possuem os mesmos campos dos CSVs utilizados pelo projeto Python/SQL.</x:v>
      </x:c>
    </x:row>
    <x:row r="4" ht="28" customHeight="1">
      <x:c r="A4" s="12" t="str">
        <x:v>Indicador</x:v>
      </x:c>
      <x:c r="B4" s="14" t="str">
        <x:v>Valor</x:v>
      </x:c>
      <x:c r="D4" s="12" t="str">
        <x:v>Como usar no projeto</x:v>
      </x:c>
      <x:c r="E4" s="13"/>
      <x:c r="F4" s="13"/>
      <x:c r="G4" s="13"/>
      <x:c r="H4" s="14"/>
    </x:row>
    <x:row r="5">
      <x:c r="A5" t="str">
        <x:v>Total de ordens</x:v>
      </x:c>
      <x:c r="B5" t="n">
        <x:f>COUNTA('Ordens Producao'!$A$2:$A$31)</x:f>
        <x:v>30</x:v>
      </x:c>
      <x:c r="D5" s="33" t="str">
        <x:v>Exporte individualmente as abas Ordens Producao, Apontamentos Atraso, Materiais e Pedidos como CSV UTF-8, mantendo os cabeçalhos da linha 1. Use os nomes ordens_producao.csv, apontamentos_atraso.csv, materiais.csv e pedidos.csv na pasta data/raw do projeto.</x:v>
      </x:c>
      <x:c r="E5" s="33"/>
      <x:c r="F5" s="33"/>
      <x:c r="G5" s="33"/>
      <x:c r="H5" s="33"/>
    </x:row>
    <x:row r="6">
      <x:c r="A6" t="str">
        <x:v>Ordens concluídas</x:v>
      </x:c>
      <x:c r="B6" t="n">
        <x:f>COUNTIF('Ordens Producao'!$K$2:$K$31,"concluída")</x:f>
        <x:v>15</x:v>
      </x:c>
      <x:c r="D6" s="33"/>
      <x:c r="E6" s="33"/>
      <x:c r="F6" s="33"/>
      <x:c r="G6" s="33"/>
      <x:c r="H6" s="33"/>
    </x:row>
    <x:row r="7">
      <x:c r="A7" t="str">
        <x:v>Ordens atrasadas/em atraso</x:v>
      </x:c>
      <x:c r="B7" t="n">
        <x:f>COUNTIF('Ordens Producao'!$K$2:$K$31,"atrasada")+COUNTIFS('Ordens Producao'!$K$2:$K$31,"&lt;&gt;concluída",'Ordens Producao'!$I$2:$I$31,"&lt;"&amp;DATE(2026,7,11))</x:f>
        <x:v>20</x:v>
      </x:c>
      <x:c r="D7" s="33"/>
      <x:c r="E7" s="33"/>
      <x:c r="F7" s="33"/>
      <x:c r="G7" s="33"/>
      <x:c r="H7" s="33"/>
    </x:row>
    <x:row r="8">
      <x:c r="A8" t="str">
        <x:v>OTD das concluídas</x:v>
      </x:c>
      <x:c r="B8" s="29" t="n">
        <x:f>IFERROR(SUMPRODUCT(--('Ordens Producao'!$K$2:$K$31="concluída"),--('Ordens Producao'!$J$2:$J$31&lt;='Ordens Producao'!$I$2:$I$31))/COUNTIF('Ordens Producao'!$K$2:$K$31,"concluída"),0)</x:f>
        <x:v>0.5333333333333333</x:v>
      </x:c>
      <x:c r="D8" s="33"/>
      <x:c r="E8" s="33"/>
      <x:c r="F8" s="33"/>
      <x:c r="G8" s="33"/>
      <x:c r="H8" s="33"/>
    </x:row>
    <x:row r="9">
      <x:c r="A9" t="str">
        <x:v>Materiais críticos</x:v>
      </x:c>
      <x:c r="B9" t="n">
        <x:f>SUMPRODUCT(--(('Materiais'!$E$2:$E$13&lt;'Materiais'!$F$2:$F$13)+('Materiais'!$E$2:$E$13/'Materiais'!$G$2:$G$13&lt;'Materiais'!$H$2:$H$13)&gt;0))</x:f>
        <x:v>5</x:v>
      </x:c>
      <x:c r="D9" s="33"/>
      <x:c r="E9" s="33"/>
      <x:c r="F9" s="33"/>
      <x:c r="G9" s="33"/>
      <x:c r="H9" s="33"/>
    </x:row>
    <x:row r="10">
      <x:c r="A10" t="str">
        <x:v>Valor total em estoque</x:v>
      </x:c>
      <x:c r="B10" s="15" t="n">
        <x:f>SUMPRODUCT('Materiais'!$E$2:$E$13,'Materiais'!$I$2:$I$13)</x:f>
        <x:v>183557.35</x:v>
      </x:c>
    </x:row>
  </x:sheetData>
  <x:mergeCells>
    <x:mergeCell ref="A1:H1"/>
    <x:mergeCell ref="A2:H2"/>
    <x:mergeCell ref="D4:H4"/>
    <x:mergeCell ref="D5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1" hidden="0" customWidth="1"/>
    <x:col min="6" max="6" width="20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15" hidden="0" customHeight="1">
      <x:c r="A1" s="16" t="str">
        <x:v>numero_ordem</x:v>
      </x:c>
      <x:c r="B1" s="17" t="str">
        <x:v>material</x:v>
      </x:c>
      <x:c r="C1" s="17" t="str">
        <x:v>familia</x:v>
      </x:c>
      <x:c r="D1" s="17" t="str">
        <x:v>centro_trabalho</x:v>
      </x:c>
      <x:c r="E1" s="17" t="str">
        <x:v>descricao_centro</x:v>
      </x:c>
      <x:c r="F1" s="17" t="str">
        <x:v>quantidade_planejada</x:v>
      </x:c>
      <x:c r="G1" s="17" t="str">
        <x:v>quantidade_produzida</x:v>
      </x:c>
      <x:c r="H1" s="17" t="str">
        <x:v>data_criacao</x:v>
      </x:c>
      <x:c r="I1" s="17" t="str">
        <x:v>data_planejada</x:v>
      </x:c>
      <x:c r="J1" s="17" t="str">
        <x:v>data_real</x:v>
      </x:c>
      <x:c r="K1" s="18" t="str">
        <x:v>status</x:v>
      </x:c>
    </x:row>
    <x:row r="2" ht="15" hidden="0" customHeight="1">
      <x:c r="A2" s="19" t="str">
        <x:v>OP-100000</x:v>
      </x:c>
      <x:c r="B2" s="19" t="str">
        <x:v>PF-1000</x:v>
      </x:c>
      <x:c r="C2" s="19" t="str">
        <x:v>Perfis e Suportes</x:v>
      </x:c>
      <x:c r="D2" s="19" t="str">
        <x:v>CT-03</x:v>
      </x:c>
      <x:c r="E2" s="19" t="str">
        <x:v>Usinagem CNC</x:v>
      </x:c>
      <x:c r="F2" s="19" t="n">
        <x:v>100</x:v>
      </x:c>
      <x:c r="G2" s="19" t="n">
        <x:v>100</x:v>
      </x:c>
      <x:c r="H2" s="22" t="n">
        <x:v>46024</x:v>
      </x:c>
      <x:c r="I2" s="22" t="n">
        <x:v>46029</x:v>
      </x:c>
      <x:c r="J2" s="22" t="n">
        <x:v>46028</x:v>
      </x:c>
      <x:c r="K2" s="19" t="str">
        <x:v>concluída</x:v>
      </x:c>
    </x:row>
    <x:row r="3" ht="15" hidden="0" customHeight="1">
      <x:c r="A3" s="19" t="str">
        <x:v>OP-100001</x:v>
      </x:c>
      <x:c r="B3" s="19" t="str">
        <x:v>DB-1001</x:v>
      </x:c>
      <x:c r="C3" s="19" t="str">
        <x:v>Dobradiças</x:v>
      </x:c>
      <x:c r="D3" s="19" t="str">
        <x:v>CT-02</x:v>
      </x:c>
      <x:c r="E3" s="19" t="str">
        <x:v>Solda</x:v>
      </x:c>
      <x:c r="F3" s="19" t="n">
        <x:v>150</x:v>
      </x:c>
      <x:c r="G3" s="19" t="n">
        <x:v>150</x:v>
      </x:c>
      <x:c r="H3" s="22" t="n">
        <x:v>46029</x:v>
      </x:c>
      <x:c r="I3" s="22" t="n">
        <x:v>46035</x:v>
      </x:c>
      <x:c r="J3" s="22" t="n">
        <x:v>46035</x:v>
      </x:c>
      <x:c r="K3" s="19" t="str">
        <x:v>concluída</x:v>
      </x:c>
    </x:row>
    <x:row r="4" ht="15" hidden="0" customHeight="1">
      <x:c r="A4" s="19" t="str">
        <x:v>OP-100002</x:v>
      </x:c>
      <x:c r="B4" s="19" t="str">
        <x:v>MP-1002</x:v>
      </x:c>
      <x:c r="C4" s="19" t="str">
        <x:v>Matéria-Prima</x:v>
      </x:c>
      <x:c r="D4" s="19" t="str">
        <x:v>CT-03</x:v>
      </x:c>
      <x:c r="E4" s="19" t="str">
        <x:v>Usinagem CNC</x:v>
      </x:c>
      <x:c r="F4" s="19" t="n">
        <x:v>200</x:v>
      </x:c>
      <x:c r="G4" s="19" t="n">
        <x:v>200</x:v>
      </x:c>
      <x:c r="H4" s="22" t="n">
        <x:v>46034</x:v>
      </x:c>
      <x:c r="I4" s="22" t="n">
        <x:v>46041</x:v>
      </x:c>
      <x:c r="J4" s="22" t="n">
        <x:v>46042</x:v>
      </x:c>
      <x:c r="K4" s="19" t="str">
        <x:v>concluída</x:v>
      </x:c>
    </x:row>
    <x:row r="5" ht="15" hidden="0" customHeight="1">
      <x:c r="A5" s="19" t="str">
        <x:v>OP-100003</x:v>
      </x:c>
      <x:c r="B5" s="19" t="str">
        <x:v>AC-1003</x:v>
      </x:c>
      <x:c r="C5" s="19" t="str">
        <x:v>Acessórios</x:v>
      </x:c>
      <x:c r="D5" s="19" t="str">
        <x:v>CT-04</x:v>
      </x:c>
      <x:c r="E5" s="19" t="str">
        <x:v>Montagem</x:v>
      </x:c>
      <x:c r="F5" s="19" t="n">
        <x:v>250</x:v>
      </x:c>
      <x:c r="G5" s="19" t="n">
        <x:v>200</x:v>
      </x:c>
      <x:c r="H5" s="22" t="n">
        <x:v>46039</x:v>
      </x:c>
      <x:c r="I5" s="22" t="n">
        <x:v>46047</x:v>
      </x:c>
      <x:c r="J5" s="22"/>
      <x:c r="K5" s="19" t="str">
        <x:v>em andamento</x:v>
      </x:c>
    </x:row>
    <x:row r="6" ht="15" hidden="0" customHeight="1">
      <x:c r="A6" s="19" t="str">
        <x:v>OP-100004</x:v>
      </x:c>
      <x:c r="B6" s="19" t="str">
        <x:v>TR-1004</x:v>
      </x:c>
      <x:c r="C6" s="19" t="str">
        <x:v>Travas e Fechos</x:v>
      </x:c>
      <x:c r="D6" s="19" t="str">
        <x:v>CT-01</x:v>
      </x:c>
      <x:c r="E6" s="19" t="str">
        <x:v>Corte</x:v>
      </x:c>
      <x:c r="F6" s="19" t="n">
        <x:v>300</x:v>
      </x:c>
      <x:c r="G6" s="19" t="n">
        <x:v>105</x:v>
      </x:c>
      <x:c r="H6" s="22" t="n">
        <x:v>46044</x:v>
      </x:c>
      <x:c r="I6" s="22" t="n">
        <x:v>46053</x:v>
      </x:c>
      <x:c r="J6" s="22"/>
      <x:c r="K6" s="19" t="str">
        <x:v>atrasada</x:v>
      </x:c>
    </x:row>
    <x:row r="7" ht="15" hidden="0" customHeight="1">
      <x:c r="A7" s="19" t="str">
        <x:v>OP-100005</x:v>
      </x:c>
      <x:c r="B7" s="19" t="str">
        <x:v>PF-1005</x:v>
      </x:c>
      <x:c r="C7" s="19" t="str">
        <x:v>Perfis e Suportes</x:v>
      </x:c>
      <x:c r="D7" s="19" t="str">
        <x:v>CT-03</x:v>
      </x:c>
      <x:c r="E7" s="19" t="str">
        <x:v>Usinagem CNC</x:v>
      </x:c>
      <x:c r="F7" s="19" t="n">
        <x:v>350</x:v>
      </x:c>
      <x:c r="G7" s="19" t="n">
        <x:v>175</x:v>
      </x:c>
      <x:c r="H7" s="22" t="n">
        <x:v>46049</x:v>
      </x:c>
      <x:c r="I7" s="22" t="n">
        <x:v>46059</x:v>
      </x:c>
      <x:c r="J7" s="22"/>
      <x:c r="K7" s="19" t="str">
        <x:v>planejada</x:v>
      </x:c>
    </x:row>
    <x:row r="8" ht="15" hidden="0" customHeight="1">
      <x:c r="A8" s="19" t="str">
        <x:v>OP-100006</x:v>
      </x:c>
      <x:c r="B8" s="19" t="str">
        <x:v>DB-1006</x:v>
      </x:c>
      <x:c r="C8" s="19" t="str">
        <x:v>Dobradiças</x:v>
      </x:c>
      <x:c r="D8" s="19" t="str">
        <x:v>CT-03</x:v>
      </x:c>
      <x:c r="E8" s="19" t="str">
        <x:v>Usinagem CNC</x:v>
      </x:c>
      <x:c r="F8" s="19" t="n">
        <x:v>100</x:v>
      </x:c>
      <x:c r="G8" s="19" t="n">
        <x:v>100</x:v>
      </x:c>
      <x:c r="H8" s="22" t="n">
        <x:v>46054</x:v>
      </x:c>
      <x:c r="I8" s="22" t="n">
        <x:v>46065</x:v>
      </x:c>
      <x:c r="J8" s="22" t="n">
        <x:v>46066</x:v>
      </x:c>
      <x:c r="K8" s="19" t="str">
        <x:v>concluída</x:v>
      </x:c>
    </x:row>
    <x:row r="9" ht="15" hidden="0" customHeight="1">
      <x:c r="A9" s="19" t="str">
        <x:v>OP-100007</x:v>
      </x:c>
      <x:c r="B9" s="19" t="str">
        <x:v>MP-1007</x:v>
      </x:c>
      <x:c r="C9" s="19" t="str">
        <x:v>Matéria-Prima</x:v>
      </x:c>
      <x:c r="D9" s="19" t="str">
        <x:v>CT-03</x:v>
      </x:c>
      <x:c r="E9" s="19" t="str">
        <x:v>Usinagem CNC</x:v>
      </x:c>
      <x:c r="F9" s="19" t="n">
        <x:v>150</x:v>
      </x:c>
      <x:c r="G9" s="19" t="n">
        <x:v>150</x:v>
      </x:c>
      <x:c r="H9" s="22" t="n">
        <x:v>46059</x:v>
      </x:c>
      <x:c r="I9" s="22" t="n">
        <x:v>46064</x:v>
      </x:c>
      <x:c r="J9" s="22" t="n">
        <x:v>46066</x:v>
      </x:c>
      <x:c r="K9" s="19" t="str">
        <x:v>concluída</x:v>
      </x:c>
    </x:row>
    <x:row r="10" ht="15" hidden="0" customHeight="1">
      <x:c r="A10" s="19" t="str">
        <x:v>OP-100008</x:v>
      </x:c>
      <x:c r="B10" s="19" t="str">
        <x:v>AC-1008</x:v>
      </x:c>
      <x:c r="C10" s="19" t="str">
        <x:v>Acessórios</x:v>
      </x:c>
      <x:c r="D10" s="19" t="str">
        <x:v>CT-01</x:v>
      </x:c>
      <x:c r="E10" s="19" t="str">
        <x:v>Corte</x:v>
      </x:c>
      <x:c r="F10" s="19" t="n">
        <x:v>200</x:v>
      </x:c>
      <x:c r="G10" s="19" t="n">
        <x:v>200</x:v>
      </x:c>
      <x:c r="H10" s="22" t="n">
        <x:v>46064</x:v>
      </x:c>
      <x:c r="I10" s="22" t="n">
        <x:v>46070</x:v>
      </x:c>
      <x:c r="J10" s="22" t="n">
        <x:v>46069</x:v>
      </x:c>
      <x:c r="K10" s="19" t="str">
        <x:v>concluída</x:v>
      </x:c>
    </x:row>
    <x:row r="11" ht="15" hidden="0" customHeight="1">
      <x:c r="A11" s="19" t="str">
        <x:v>OP-100009</x:v>
      </x:c>
      <x:c r="B11" s="19" t="str">
        <x:v>TR-1009</x:v>
      </x:c>
      <x:c r="C11" s="19" t="str">
        <x:v>Travas e Fechos</x:v>
      </x:c>
      <x:c r="D11" s="19" t="str">
        <x:v>CT-02</x:v>
      </x:c>
      <x:c r="E11" s="19" t="str">
        <x:v>Solda</x:v>
      </x:c>
      <x:c r="F11" s="19" t="n">
        <x:v>250</x:v>
      </x:c>
      <x:c r="G11" s="19" t="n">
        <x:v>125</x:v>
      </x:c>
      <x:c r="H11" s="22" t="n">
        <x:v>46069</x:v>
      </x:c>
      <x:c r="I11" s="22" t="n">
        <x:v>46076</x:v>
      </x:c>
      <x:c r="J11" s="22"/>
      <x:c r="K11" s="19" t="str">
        <x:v>em andamento</x:v>
      </x:c>
    </x:row>
    <x:row r="12" ht="15" hidden="0" customHeight="1">
      <x:c r="A12" s="19" t="str">
        <x:v>OP-100010</x:v>
      </x:c>
      <x:c r="B12" s="19" t="str">
        <x:v>PF-1010</x:v>
      </x:c>
      <x:c r="C12" s="19" t="str">
        <x:v>Perfis e Suportes</x:v>
      </x:c>
      <x:c r="D12" s="19" t="str">
        <x:v>CT-03</x:v>
      </x:c>
      <x:c r="E12" s="19" t="str">
        <x:v>Usinagem CNC</x:v>
      </x:c>
      <x:c r="F12" s="19" t="n">
        <x:v>300</x:v>
      </x:c>
      <x:c r="G12" s="19" t="n">
        <x:v>195</x:v>
      </x:c>
      <x:c r="H12" s="22" t="n">
        <x:v>46074</x:v>
      </x:c>
      <x:c r="I12" s="22" t="n">
        <x:v>46082</x:v>
      </x:c>
      <x:c r="J12" s="22"/>
      <x:c r="K12" s="19" t="str">
        <x:v>atrasada</x:v>
      </x:c>
    </x:row>
    <x:row r="13" ht="15" hidden="0" customHeight="1">
      <x:c r="A13" s="19" t="str">
        <x:v>OP-100011</x:v>
      </x:c>
      <x:c r="B13" s="19" t="str">
        <x:v>DB-1011</x:v>
      </x:c>
      <x:c r="C13" s="19" t="str">
        <x:v>Dobradiças</x:v>
      </x:c>
      <x:c r="D13" s="19" t="str">
        <x:v>CT-04</x:v>
      </x:c>
      <x:c r="E13" s="19" t="str">
        <x:v>Montagem</x:v>
      </x:c>
      <x:c r="F13" s="19" t="n">
        <x:v>350</x:v>
      </x:c>
      <x:c r="G13" s="19" t="n">
        <x:v>280</x:v>
      </x:c>
      <x:c r="H13" s="22" t="n">
        <x:v>46079</x:v>
      </x:c>
      <x:c r="I13" s="22" t="n">
        <x:v>46088</x:v>
      </x:c>
      <x:c r="J13" s="22"/>
      <x:c r="K13" s="19" t="str">
        <x:v>planejada</x:v>
      </x:c>
    </x:row>
    <x:row r="14" ht="15" hidden="0" customHeight="1">
      <x:c r="A14" s="19" t="str">
        <x:v>OP-100012</x:v>
      </x:c>
      <x:c r="B14" s="19" t="str">
        <x:v>PF-1000</x:v>
      </x:c>
      <x:c r="C14" s="19" t="str">
        <x:v>Perfis e Suportes</x:v>
      </x:c>
      <x:c r="D14" s="19" t="str">
        <x:v>CT-01</x:v>
      </x:c>
      <x:c r="E14" s="19" t="str">
        <x:v>Corte</x:v>
      </x:c>
      <x:c r="F14" s="19" t="n">
        <x:v>100</x:v>
      </x:c>
      <x:c r="G14" s="19" t="n">
        <x:v>100</x:v>
      </x:c>
      <x:c r="H14" s="22" t="n">
        <x:v>46084</x:v>
      </x:c>
      <x:c r="I14" s="22" t="n">
        <x:v>46094</x:v>
      </x:c>
      <x:c r="J14" s="22" t="n">
        <x:v>46093</x:v>
      </x:c>
      <x:c r="K14" s="19" t="str">
        <x:v>concluída</x:v>
      </x:c>
    </x:row>
    <x:row r="15" ht="15" hidden="0" customHeight="1">
      <x:c r="A15" s="19" t="str">
        <x:v>OP-100013</x:v>
      </x:c>
      <x:c r="B15" s="19" t="str">
        <x:v>DB-1001</x:v>
      </x:c>
      <x:c r="C15" s="19" t="str">
        <x:v>Dobradiças</x:v>
      </x:c>
      <x:c r="D15" s="19" t="str">
        <x:v>CT-02</x:v>
      </x:c>
      <x:c r="E15" s="19" t="str">
        <x:v>Solda</x:v>
      </x:c>
      <x:c r="F15" s="19" t="n">
        <x:v>150</x:v>
      </x:c>
      <x:c r="G15" s="19" t="n">
        <x:v>150</x:v>
      </x:c>
      <x:c r="H15" s="22" t="n">
        <x:v>46089</x:v>
      </x:c>
      <x:c r="I15" s="22" t="n">
        <x:v>46100</x:v>
      </x:c>
      <x:c r="J15" s="22" t="n">
        <x:v>46100</x:v>
      </x:c>
      <x:c r="K15" s="19" t="str">
        <x:v>concluída</x:v>
      </x:c>
    </x:row>
    <x:row r="16" ht="15" hidden="0" customHeight="1">
      <x:c r="A16" s="19" t="str">
        <x:v>OP-100014</x:v>
      </x:c>
      <x:c r="B16" s="19" t="str">
        <x:v>MP-1002</x:v>
      </x:c>
      <x:c r="C16" s="19" t="str">
        <x:v>Matéria-Prima</x:v>
      </x:c>
      <x:c r="D16" s="19" t="str">
        <x:v>CT-03</x:v>
      </x:c>
      <x:c r="E16" s="19" t="str">
        <x:v>Usinagem CNC</x:v>
      </x:c>
      <x:c r="F16" s="19" t="n">
        <x:v>200</x:v>
      </x:c>
      <x:c r="G16" s="19" t="n">
        <x:v>200</x:v>
      </x:c>
      <x:c r="H16" s="22" t="n">
        <x:v>46094</x:v>
      </x:c>
      <x:c r="I16" s="22" t="n">
        <x:v>46099</x:v>
      </x:c>
      <x:c r="J16" s="22" t="n">
        <x:v>46100</x:v>
      </x:c>
      <x:c r="K16" s="19" t="str">
        <x:v>concluída</x:v>
      </x:c>
    </x:row>
    <x:row r="17" ht="15" hidden="0" customHeight="1">
      <x:c r="A17" s="19" t="str">
        <x:v>OP-100015</x:v>
      </x:c>
      <x:c r="B17" s="19" t="str">
        <x:v>AC-1003</x:v>
      </x:c>
      <x:c r="C17" s="19" t="str">
        <x:v>Acessórios</x:v>
      </x:c>
      <x:c r="D17" s="19" t="str">
        <x:v>CT-03</x:v>
      </x:c>
      <x:c r="E17" s="19" t="str">
        <x:v>Usinagem CNC</x:v>
      </x:c>
      <x:c r="F17" s="19" t="n">
        <x:v>250</x:v>
      </x:c>
      <x:c r="G17" s="19" t="n">
        <x:v>200</x:v>
      </x:c>
      <x:c r="H17" s="22" t="n">
        <x:v>46099</x:v>
      </x:c>
      <x:c r="I17" s="22" t="n">
        <x:v>46105</x:v>
      </x:c>
      <x:c r="J17" s="22"/>
      <x:c r="K17" s="19" t="str">
        <x:v>em andamento</x:v>
      </x:c>
    </x:row>
    <x:row r="18" ht="15" hidden="0" customHeight="1">
      <x:c r="A18" s="19" t="str">
        <x:v>OP-100016</x:v>
      </x:c>
      <x:c r="B18" s="19" t="str">
        <x:v>TR-1004</x:v>
      </x:c>
      <x:c r="C18" s="19" t="str">
        <x:v>Travas e Fechos</x:v>
      </x:c>
      <x:c r="D18" s="19" t="str">
        <x:v>CT-01</x:v>
      </x:c>
      <x:c r="E18" s="19" t="str">
        <x:v>Corte</x:v>
      </x:c>
      <x:c r="F18" s="19" t="n">
        <x:v>300</x:v>
      </x:c>
      <x:c r="G18" s="19" t="n">
        <x:v>105</x:v>
      </x:c>
      <x:c r="H18" s="22" t="n">
        <x:v>46104</x:v>
      </x:c>
      <x:c r="I18" s="22" t="n">
        <x:v>46111</x:v>
      </x:c>
      <x:c r="J18" s="22"/>
      <x:c r="K18" s="19" t="str">
        <x:v>atrasada</x:v>
      </x:c>
    </x:row>
    <x:row r="19" ht="15" hidden="0" customHeight="1">
      <x:c r="A19" s="19" t="str">
        <x:v>OP-100017</x:v>
      </x:c>
      <x:c r="B19" s="19" t="str">
        <x:v>PF-1005</x:v>
      </x:c>
      <x:c r="C19" s="19" t="str">
        <x:v>Perfis e Suportes</x:v>
      </x:c>
      <x:c r="D19" s="19" t="str">
        <x:v>CT-02</x:v>
      </x:c>
      <x:c r="E19" s="19" t="str">
        <x:v>Solda</x:v>
      </x:c>
      <x:c r="F19" s="19" t="n">
        <x:v>350</x:v>
      </x:c>
      <x:c r="G19" s="19" t="n">
        <x:v>175</x:v>
      </x:c>
      <x:c r="H19" s="22" t="n">
        <x:v>46109</x:v>
      </x:c>
      <x:c r="I19" s="22" t="n">
        <x:v>46117</x:v>
      </x:c>
      <x:c r="J19" s="22"/>
      <x:c r="K19" s="19" t="str">
        <x:v>planejada</x:v>
      </x:c>
    </x:row>
    <x:row r="20" ht="15" hidden="0" customHeight="1">
      <x:c r="A20" s="19" t="str">
        <x:v>OP-100018</x:v>
      </x:c>
      <x:c r="B20" s="19" t="str">
        <x:v>DB-1006</x:v>
      </x:c>
      <x:c r="C20" s="19" t="str">
        <x:v>Dobradiças</x:v>
      </x:c>
      <x:c r="D20" s="19" t="str">
        <x:v>CT-03</x:v>
      </x:c>
      <x:c r="E20" s="19" t="str">
        <x:v>Usinagem CNC</x:v>
      </x:c>
      <x:c r="F20" s="19" t="n">
        <x:v>100</x:v>
      </x:c>
      <x:c r="G20" s="19" t="n">
        <x:v>100</x:v>
      </x:c>
      <x:c r="H20" s="22" t="n">
        <x:v>46114</x:v>
      </x:c>
      <x:c r="I20" s="22" t="n">
        <x:v>46123</x:v>
      </x:c>
      <x:c r="J20" s="22" t="n">
        <x:v>46124</x:v>
      </x:c>
      <x:c r="K20" s="19" t="str">
        <x:v>concluída</x:v>
      </x:c>
    </x:row>
    <x:row r="21" ht="15" hidden="0" customHeight="1">
      <x:c r="A21" s="19" t="str">
        <x:v>OP-100019</x:v>
      </x:c>
      <x:c r="B21" s="19" t="str">
        <x:v>MP-1007</x:v>
      </x:c>
      <x:c r="C21" s="19" t="str">
        <x:v>Matéria-Prima</x:v>
      </x:c>
      <x:c r="D21" s="19" t="str">
        <x:v>CT-04</x:v>
      </x:c>
      <x:c r="E21" s="19" t="str">
        <x:v>Montagem</x:v>
      </x:c>
      <x:c r="F21" s="19" t="n">
        <x:v>150</x:v>
      </x:c>
      <x:c r="G21" s="19" t="n">
        <x:v>150</x:v>
      </x:c>
      <x:c r="H21" s="22" t="n">
        <x:v>46119</x:v>
      </x:c>
      <x:c r="I21" s="22" t="n">
        <x:v>46129</x:v>
      </x:c>
      <x:c r="J21" s="22" t="n">
        <x:v>46131</x:v>
      </x:c>
      <x:c r="K21" s="19" t="str">
        <x:v>concluída</x:v>
      </x:c>
    </x:row>
    <x:row r="22" ht="15" hidden="0" customHeight="1">
      <x:c r="A22" s="19" t="str">
        <x:v>OP-100020</x:v>
      </x:c>
      <x:c r="B22" s="19" t="str">
        <x:v>AC-1008</x:v>
      </x:c>
      <x:c r="C22" s="19" t="str">
        <x:v>Acessórios</x:v>
      </x:c>
      <x:c r="D22" s="19" t="str">
        <x:v>CT-03</x:v>
      </x:c>
      <x:c r="E22" s="19" t="str">
        <x:v>Usinagem CNC</x:v>
      </x:c>
      <x:c r="F22" s="19" t="n">
        <x:v>200</x:v>
      </x:c>
      <x:c r="G22" s="19" t="n">
        <x:v>200</x:v>
      </x:c>
      <x:c r="H22" s="22" t="n">
        <x:v>46124</x:v>
      </x:c>
      <x:c r="I22" s="22" t="n">
        <x:v>46135</x:v>
      </x:c>
      <x:c r="J22" s="22" t="n">
        <x:v>46134</x:v>
      </x:c>
      <x:c r="K22" s="19" t="str">
        <x:v>concluída</x:v>
      </x:c>
    </x:row>
    <x:row r="23" ht="15" hidden="0" customHeight="1">
      <x:c r="A23" s="19" t="str">
        <x:v>OP-100021</x:v>
      </x:c>
      <x:c r="B23" s="19" t="str">
        <x:v>TR-1009</x:v>
      </x:c>
      <x:c r="C23" s="19" t="str">
        <x:v>Travas e Fechos</x:v>
      </x:c>
      <x:c r="D23" s="19" t="str">
        <x:v>CT-03</x:v>
      </x:c>
      <x:c r="E23" s="19" t="str">
        <x:v>Usinagem CNC</x:v>
      </x:c>
      <x:c r="F23" s="19" t="n">
        <x:v>250</x:v>
      </x:c>
      <x:c r="G23" s="19" t="n">
        <x:v>125</x:v>
      </x:c>
      <x:c r="H23" s="22" t="n">
        <x:v>46129</x:v>
      </x:c>
      <x:c r="I23" s="22" t="n">
        <x:v>46134</x:v>
      </x:c>
      <x:c r="J23" s="22"/>
      <x:c r="K23" s="19" t="str">
        <x:v>em andamento</x:v>
      </x:c>
    </x:row>
    <x:row r="24" ht="15" hidden="0" customHeight="1">
      <x:c r="A24" s="19" t="str">
        <x:v>OP-100022</x:v>
      </x:c>
      <x:c r="B24" s="19" t="str">
        <x:v>PF-1010</x:v>
      </x:c>
      <x:c r="C24" s="19" t="str">
        <x:v>Perfis e Suportes</x:v>
      </x:c>
      <x:c r="D24" s="19" t="str">
        <x:v>CT-03</x:v>
      </x:c>
      <x:c r="E24" s="19" t="str">
        <x:v>Usinagem CNC</x:v>
      </x:c>
      <x:c r="F24" s="19" t="n">
        <x:v>300</x:v>
      </x:c>
      <x:c r="G24" s="19" t="n">
        <x:v>195</x:v>
      </x:c>
      <x:c r="H24" s="22" t="n">
        <x:v>46134</x:v>
      </x:c>
      <x:c r="I24" s="22" t="n">
        <x:v>46140</x:v>
      </x:c>
      <x:c r="J24" s="22"/>
      <x:c r="K24" s="19" t="str">
        <x:v>atrasada</x:v>
      </x:c>
    </x:row>
    <x:row r="25" ht="15" hidden="0" customHeight="1">
      <x:c r="A25" s="19" t="str">
        <x:v>OP-100023</x:v>
      </x:c>
      <x:c r="B25" s="19" t="str">
        <x:v>DB-1011</x:v>
      </x:c>
      <x:c r="C25" s="19" t="str">
        <x:v>Dobradiças</x:v>
      </x:c>
      <x:c r="D25" s="19" t="str">
        <x:v>CT-04</x:v>
      </x:c>
      <x:c r="E25" s="19" t="str">
        <x:v>Montagem</x:v>
      </x:c>
      <x:c r="F25" s="19" t="n">
        <x:v>350</x:v>
      </x:c>
      <x:c r="G25" s="19" t="n">
        <x:v>280</x:v>
      </x:c>
      <x:c r="H25" s="22" t="n">
        <x:v>46139</x:v>
      </x:c>
      <x:c r="I25" s="22" t="n">
        <x:v>46146</x:v>
      </x:c>
      <x:c r="J25" s="22"/>
      <x:c r="K25" s="19" t="str">
        <x:v>planejada</x:v>
      </x:c>
    </x:row>
    <x:row r="26" ht="15" hidden="0" customHeight="1">
      <x:c r="A26" s="19" t="str">
        <x:v>OP-100024</x:v>
      </x:c>
      <x:c r="B26" s="19" t="str">
        <x:v>PF-1000</x:v>
      </x:c>
      <x:c r="C26" s="19" t="str">
        <x:v>Perfis e Suportes</x:v>
      </x:c>
      <x:c r="D26" s="19" t="str">
        <x:v>CT-01</x:v>
      </x:c>
      <x:c r="E26" s="19" t="str">
        <x:v>Corte</x:v>
      </x:c>
      <x:c r="F26" s="19" t="n">
        <x:v>100</x:v>
      </x:c>
      <x:c r="G26" s="19" t="n">
        <x:v>100</x:v>
      </x:c>
      <x:c r="H26" s="22" t="n">
        <x:v>46144</x:v>
      </x:c>
      <x:c r="I26" s="22" t="n">
        <x:v>46152</x:v>
      </x:c>
      <x:c r="J26" s="22" t="n">
        <x:v>46151</x:v>
      </x:c>
      <x:c r="K26" s="19" t="str">
        <x:v>concluída</x:v>
      </x:c>
    </x:row>
    <x:row r="27" ht="15" hidden="0" customHeight="1">
      <x:c r="A27" s="19" t="str">
        <x:v>OP-100025</x:v>
      </x:c>
      <x:c r="B27" s="19" t="str">
        <x:v>DB-1001</x:v>
      </x:c>
      <x:c r="C27" s="19" t="str">
        <x:v>Dobradiças</x:v>
      </x:c>
      <x:c r="D27" s="19" t="str">
        <x:v>CT-03</x:v>
      </x:c>
      <x:c r="E27" s="19" t="str">
        <x:v>Usinagem CNC</x:v>
      </x:c>
      <x:c r="F27" s="19" t="n">
        <x:v>150</x:v>
      </x:c>
      <x:c r="G27" s="19" t="n">
        <x:v>150</x:v>
      </x:c>
      <x:c r="H27" s="22" t="n">
        <x:v>46149</x:v>
      </x:c>
      <x:c r="I27" s="22" t="n">
        <x:v>46158</x:v>
      </x:c>
      <x:c r="J27" s="22" t="n">
        <x:v>46158</x:v>
      </x:c>
      <x:c r="K27" s="19" t="str">
        <x:v>concluída</x:v>
      </x:c>
    </x:row>
    <x:row r="28" ht="15" hidden="0" customHeight="1">
      <x:c r="A28" s="19" t="str">
        <x:v>OP-100026</x:v>
      </x:c>
      <x:c r="B28" s="19" t="str">
        <x:v>MP-1002</x:v>
      </x:c>
      <x:c r="C28" s="19" t="str">
        <x:v>Matéria-Prima</x:v>
      </x:c>
      <x:c r="D28" s="19" t="str">
        <x:v>CT-03</x:v>
      </x:c>
      <x:c r="E28" s="19" t="str">
        <x:v>Usinagem CNC</x:v>
      </x:c>
      <x:c r="F28" s="19" t="n">
        <x:v>200</x:v>
      </x:c>
      <x:c r="G28" s="19" t="n">
        <x:v>200</x:v>
      </x:c>
      <x:c r="H28" s="22" t="n">
        <x:v>46154</x:v>
      </x:c>
      <x:c r="I28" s="22" t="n">
        <x:v>46164</x:v>
      </x:c>
      <x:c r="J28" s="22" t="n">
        <x:v>46165</x:v>
      </x:c>
      <x:c r="K28" s="19" t="str">
        <x:v>concluída</x:v>
      </x:c>
    </x:row>
    <x:row r="29" ht="15" hidden="0" customHeight="1">
      <x:c r="A29" s="19" t="str">
        <x:v>OP-100027</x:v>
      </x:c>
      <x:c r="B29" s="19" t="str">
        <x:v>AC-1003</x:v>
      </x:c>
      <x:c r="C29" s="19" t="str">
        <x:v>Acessórios</x:v>
      </x:c>
      <x:c r="D29" s="19" t="str">
        <x:v>CT-04</x:v>
      </x:c>
      <x:c r="E29" s="19" t="str">
        <x:v>Montagem</x:v>
      </x:c>
      <x:c r="F29" s="19" t="n">
        <x:v>250</x:v>
      </x:c>
      <x:c r="G29" s="19" t="n">
        <x:v>200</x:v>
      </x:c>
      <x:c r="H29" s="22" t="n">
        <x:v>46159</x:v>
      </x:c>
      <x:c r="I29" s="22" t="n">
        <x:v>46170</x:v>
      </x:c>
      <x:c r="J29" s="22"/>
      <x:c r="K29" s="19" t="str">
        <x:v>em andamento</x:v>
      </x:c>
    </x:row>
    <x:row r="30" ht="15" hidden="0" customHeight="1">
      <x:c r="A30" s="19" t="str">
        <x:v>OP-100028</x:v>
      </x:c>
      <x:c r="B30" s="19" t="str">
        <x:v>TR-1004</x:v>
      </x:c>
      <x:c r="C30" s="19" t="str">
        <x:v>Travas e Fechos</x:v>
      </x:c>
      <x:c r="D30" s="19" t="str">
        <x:v>CT-03</x:v>
      </x:c>
      <x:c r="E30" s="19" t="str">
        <x:v>Usinagem CNC</x:v>
      </x:c>
      <x:c r="F30" s="19" t="n">
        <x:v>300</x:v>
      </x:c>
      <x:c r="G30" s="19" t="n">
        <x:v>105</x:v>
      </x:c>
      <x:c r="H30" s="22" t="n">
        <x:v>46164</x:v>
      </x:c>
      <x:c r="I30" s="22" t="n">
        <x:v>46169</x:v>
      </x:c>
      <x:c r="J30" s="22"/>
      <x:c r="K30" s="19" t="str">
        <x:v>atrasada</x:v>
      </x:c>
    </x:row>
    <x:row r="31" ht="15" hidden="0" customHeight="1">
      <x:c r="A31" s="19" t="str">
        <x:v>OP-100029</x:v>
      </x:c>
      <x:c r="B31" s="19" t="str">
        <x:v>PF-1005</x:v>
      </x:c>
      <x:c r="C31" s="19" t="str">
        <x:v>Perfis e Suportes</x:v>
      </x:c>
      <x:c r="D31" s="19" t="str">
        <x:v>CT-02</x:v>
      </x:c>
      <x:c r="E31" s="19" t="str">
        <x:v>Solda</x:v>
      </x:c>
      <x:c r="F31" s="19" t="n">
        <x:v>350</x:v>
      </x:c>
      <x:c r="G31" s="19" t="n">
        <x:v>175</x:v>
      </x:c>
      <x:c r="H31" s="22" t="n">
        <x:v>46169</x:v>
      </x:c>
      <x:c r="I31" s="22" t="n">
        <x:v>46175</x:v>
      </x:c>
      <x:c r="J31" s="22"/>
      <x:c r="K31" s="19" t="str">
        <x:v>planejada</x:v>
      </x:c>
    </x:row>
  </x:sheetData>
  <x:dataValidations count="1">
    <x:dataValidation type="list" sqref="K2:K31">
      <x:formula1>"planejada,em andamento,concluída,atrasada"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dbacee9e5a44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6" hidden="0" customWidth="1"/>
    <x:col min="5" max="5" width="14" hidden="0" customWidth="1"/>
    <x:col min="6" max="6" width="14" hidden="0" customWidth="1"/>
    <x:col min="7" max="7" width="20" hidden="0" customWidth="1"/>
  </x:cols>
  <x:sheetData>
    <x:row r="1" ht="15" hidden="0" customHeight="1">
      <x:c r="A1" s="16" t="str">
        <x:v>numero_ordem</x:v>
      </x:c>
      <x:c r="B1" s="17" t="str">
        <x:v>centro_trabalho</x:v>
      </x:c>
      <x:c r="C1" s="17" t="str">
        <x:v>cod_motivo</x:v>
      </x:c>
      <x:c r="D1" s="17" t="str">
        <x:v>motivo_atraso</x:v>
      </x:c>
      <x:c r="E1" s="17" t="str">
        <x:v>dias_atraso</x:v>
      </x:c>
      <x:c r="F1" s="17" t="str">
        <x:v>prioridade</x:v>
      </x:c>
      <x:c r="G1" s="18" t="str">
        <x:v>responsavel</x:v>
      </x:c>
    </x:row>
    <x:row r="2" ht="15" hidden="0" customHeight="1">
      <x:c r="A2" s="19" t="str">
        <x:v>OP-100000</x:v>
      </x:c>
      <x:c r="B2" s="19" t="str">
        <x:v>CT-03</x:v>
      </x:c>
      <x:c r="C2" s="19" t="str">
        <x:v>M01</x:v>
      </x:c>
      <x:c r="D2" s="19" t="str">
        <x:v>Quebra de máquina</x:v>
      </x:c>
      <x:c r="E2" s="19" t="n">
        <x:v>1</x:v>
      </x:c>
      <x:c r="F2" s="19" t="str">
        <x:v>Alta</x:v>
      </x:c>
      <x:c r="G2" s="19" t="str">
        <x:v>Analista PCP 01</x:v>
      </x:c>
    </x:row>
    <x:row r="3" ht="15" hidden="0" customHeight="1">
      <x:c r="A3" s="19" t="str">
        <x:v>OP-100002</x:v>
      </x:c>
      <x:c r="B3" s="19" t="str">
        <x:v>CT-03</x:v>
      </x:c>
      <x:c r="C3" s="19" t="str">
        <x:v>M01</x:v>
      </x:c>
      <x:c r="D3" s="19" t="str">
        <x:v>Quebra de máquina</x:v>
      </x:c>
      <x:c r="E3" s="19" t="n">
        <x:v>2</x:v>
      </x:c>
      <x:c r="F3" s="19" t="str">
        <x:v>Média</x:v>
      </x:c>
      <x:c r="G3" s="19" t="str">
        <x:v>Analista PCP 02</x:v>
      </x:c>
    </x:row>
    <x:row r="4" ht="15" hidden="0" customHeight="1">
      <x:c r="A4" s="19" t="str">
        <x:v>OP-100004</x:v>
      </x:c>
      <x:c r="B4" s="19" t="str">
        <x:v>CT-01</x:v>
      </x:c>
      <x:c r="C4" s="19" t="str">
        <x:v>M01</x:v>
      </x:c>
      <x:c r="D4" s="19" t="str">
        <x:v>Quebra de máquina</x:v>
      </x:c>
      <x:c r="E4" s="19" t="n">
        <x:v>3</x:v>
      </x:c>
      <x:c r="F4" s="19" t="str">
        <x:v>Baixa</x:v>
      </x:c>
      <x:c r="G4" s="19" t="str">
        <x:v>Analista PCP 03</x:v>
      </x:c>
    </x:row>
    <x:row r="5" ht="15" hidden="0" customHeight="1">
      <x:c r="A5" s="19" t="str">
        <x:v>OP-100006</x:v>
      </x:c>
      <x:c r="B5" s="19" t="str">
        <x:v>CT-03</x:v>
      </x:c>
      <x:c r="C5" s="19" t="str">
        <x:v>M01</x:v>
      </x:c>
      <x:c r="D5" s="19" t="str">
        <x:v>Quebra de máquina</x:v>
      </x:c>
      <x:c r="E5" s="19" t="n">
        <x:v>4</x:v>
      </x:c>
      <x:c r="F5" s="19" t="str">
        <x:v>Alta</x:v>
      </x:c>
      <x:c r="G5" s="19" t="str">
        <x:v>Analista PCP 04</x:v>
      </x:c>
    </x:row>
    <x:row r="6" ht="15" hidden="0" customHeight="1">
      <x:c r="A6" s="19" t="str">
        <x:v>OP-100008</x:v>
      </x:c>
      <x:c r="B6" s="19" t="str">
        <x:v>CT-01</x:v>
      </x:c>
      <x:c r="C6" s="19" t="str">
        <x:v>M01</x:v>
      </x:c>
      <x:c r="D6" s="19" t="str">
        <x:v>Quebra de máquina</x:v>
      </x:c>
      <x:c r="E6" s="19" t="n">
        <x:v>5</x:v>
      </x:c>
      <x:c r="F6" s="19" t="str">
        <x:v>Média</x:v>
      </x:c>
      <x:c r="G6" s="19" t="str">
        <x:v>Analista PCP 05</x:v>
      </x:c>
    </x:row>
    <x:row r="7" ht="15" hidden="0" customHeight="1">
      <x:c r="A7" s="19" t="str">
        <x:v>OP-100010</x:v>
      </x:c>
      <x:c r="B7" s="19" t="str">
        <x:v>CT-03</x:v>
      </x:c>
      <x:c r="C7" s="19" t="str">
        <x:v>M01</x:v>
      </x:c>
      <x:c r="D7" s="19" t="str">
        <x:v>Quebra de máquina</x:v>
      </x:c>
      <x:c r="E7" s="19" t="n">
        <x:v>6</x:v>
      </x:c>
      <x:c r="F7" s="19" t="str">
        <x:v>Baixa</x:v>
      </x:c>
      <x:c r="G7" s="19" t="str">
        <x:v>Analista PCP 01</x:v>
      </x:c>
    </x:row>
    <x:row r="8" ht="15" hidden="0" customHeight="1">
      <x:c r="A8" s="19" t="str">
        <x:v>OP-100012</x:v>
      </x:c>
      <x:c r="B8" s="19" t="str">
        <x:v>CT-01</x:v>
      </x:c>
      <x:c r="C8" s="19" t="str">
        <x:v>M01</x:v>
      </x:c>
      <x:c r="D8" s="19" t="str">
        <x:v>Quebra de máquina</x:v>
      </x:c>
      <x:c r="E8" s="19" t="n">
        <x:v>7</x:v>
      </x:c>
      <x:c r="F8" s="19" t="str">
        <x:v>Alta</x:v>
      </x:c>
      <x:c r="G8" s="19" t="str">
        <x:v>Analista PCP 02</x:v>
      </x:c>
    </x:row>
    <x:row r="9" ht="15" hidden="0" customHeight="1">
      <x:c r="A9" s="19" t="str">
        <x:v>OP-100014</x:v>
      </x:c>
      <x:c r="B9" s="19" t="str">
        <x:v>CT-03</x:v>
      </x:c>
      <x:c r="C9" s="19" t="str">
        <x:v>M01</x:v>
      </x:c>
      <x:c r="D9" s="19" t="str">
        <x:v>Quebra de máquina</x:v>
      </x:c>
      <x:c r="E9" s="19" t="n">
        <x:v>1</x:v>
      </x:c>
      <x:c r="F9" s="19" t="str">
        <x:v>Média</x:v>
      </x:c>
      <x:c r="G9" s="19" t="str">
        <x:v>Analista PCP 03</x:v>
      </x:c>
    </x:row>
    <x:row r="10" ht="15" hidden="0" customHeight="1">
      <x:c r="A10" s="19" t="str">
        <x:v>OP-100016</x:v>
      </x:c>
      <x:c r="B10" s="19" t="str">
        <x:v>CT-01</x:v>
      </x:c>
      <x:c r="C10" s="19" t="str">
        <x:v>M02</x:v>
      </x:c>
      <x:c r="D10" s="19" t="str">
        <x:v>Falta de material</x:v>
      </x:c>
      <x:c r="E10" s="19" t="n">
        <x:v>2</x:v>
      </x:c>
      <x:c r="F10" s="19" t="str">
        <x:v>Baixa</x:v>
      </x:c>
      <x:c r="G10" s="19" t="str">
        <x:v>Analista PCP 04</x:v>
      </x:c>
    </x:row>
    <x:row r="11" ht="15" hidden="0" customHeight="1">
      <x:c r="A11" s="19" t="str">
        <x:v>OP-100018</x:v>
      </x:c>
      <x:c r="B11" s="19" t="str">
        <x:v>CT-03</x:v>
      </x:c>
      <x:c r="C11" s="19" t="str">
        <x:v>M02</x:v>
      </x:c>
      <x:c r="D11" s="19" t="str">
        <x:v>Falta de material</x:v>
      </x:c>
      <x:c r="E11" s="19" t="n">
        <x:v>3</x:v>
      </x:c>
      <x:c r="F11" s="19" t="str">
        <x:v>Alta</x:v>
      </x:c>
      <x:c r="G11" s="19" t="str">
        <x:v>Analista PCP 05</x:v>
      </x:c>
    </x:row>
    <x:row r="12" ht="15" hidden="0" customHeight="1">
      <x:c r="A12" s="19" t="str">
        <x:v>OP-100020</x:v>
      </x:c>
      <x:c r="B12" s="19" t="str">
        <x:v>CT-03</x:v>
      </x:c>
      <x:c r="C12" s="19" t="str">
        <x:v>M02</x:v>
      </x:c>
      <x:c r="D12" s="19" t="str">
        <x:v>Falta de material</x:v>
      </x:c>
      <x:c r="E12" s="19" t="n">
        <x:v>4</x:v>
      </x:c>
      <x:c r="F12" s="19" t="str">
        <x:v>Média</x:v>
      </x:c>
      <x:c r="G12" s="19" t="str">
        <x:v>Analista PCP 01</x:v>
      </x:c>
    </x:row>
    <x:row r="13" ht="15" hidden="0" customHeight="1">
      <x:c r="A13" s="19" t="str">
        <x:v>OP-100022</x:v>
      </x:c>
      <x:c r="B13" s="19" t="str">
        <x:v>CT-03</x:v>
      </x:c>
      <x:c r="C13" s="19" t="str">
        <x:v>M02</x:v>
      </x:c>
      <x:c r="D13" s="19" t="str">
        <x:v>Falta de material</x:v>
      </x:c>
      <x:c r="E13" s="19" t="n">
        <x:v>5</x:v>
      </x:c>
      <x:c r="F13" s="19" t="str">
        <x:v>Baixa</x:v>
      </x:c>
      <x:c r="G13" s="19" t="str">
        <x:v>Analista PCP 02</x:v>
      </x:c>
    </x:row>
    <x:row r="14" ht="15" hidden="0" customHeight="1">
      <x:c r="A14" s="19" t="str">
        <x:v>OP-100024</x:v>
      </x:c>
      <x:c r="B14" s="19" t="str">
        <x:v>CT-01</x:v>
      </x:c>
      <x:c r="C14" s="19" t="str">
        <x:v>M02</x:v>
      </x:c>
      <x:c r="D14" s="19" t="str">
        <x:v>Falta de material</x:v>
      </x:c>
      <x:c r="E14" s="19" t="n">
        <x:v>6</x:v>
      </x:c>
      <x:c r="F14" s="19" t="str">
        <x:v>Alta</x:v>
      </x:c>
      <x:c r="G14" s="19" t="str">
        <x:v>Analista PCP 03</x:v>
      </x:c>
    </x:row>
    <x:row r="15" ht="15" hidden="0" customHeight="1">
      <x:c r="A15" s="19" t="str">
        <x:v>OP-100026</x:v>
      </x:c>
      <x:c r="B15" s="19" t="str">
        <x:v>CT-03</x:v>
      </x:c>
      <x:c r="C15" s="19" t="str">
        <x:v>M03</x:v>
      </x:c>
      <x:c r="D15" s="19" t="str">
        <x:v>Falta de operador</x:v>
      </x:c>
      <x:c r="E15" s="19" t="n">
        <x:v>7</x:v>
      </x:c>
      <x:c r="F15" s="19" t="str">
        <x:v>Média</x:v>
      </x:c>
      <x:c r="G15" s="19" t="str">
        <x:v>Analista PCP 04</x:v>
      </x:c>
    </x:row>
    <x:row r="16" ht="15" hidden="0" customHeight="1">
      <x:c r="A16" s="19" t="str">
        <x:v>OP-100028</x:v>
      </x:c>
      <x:c r="B16" s="19" t="str">
        <x:v>CT-03</x:v>
      </x:c>
      <x:c r="C16" s="19" t="str">
        <x:v>M03</x:v>
      </x:c>
      <x:c r="D16" s="19" t="str">
        <x:v>Falta de operador</x:v>
      </x:c>
      <x:c r="E16" s="19" t="n">
        <x:v>1</x:v>
      </x:c>
      <x:c r="F16" s="19" t="str">
        <x:v>Baixa</x:v>
      </x:c>
      <x:c r="G16" s="19" t="str">
        <x:v>Analista PCP 05</x:v>
      </x:c>
    </x:row>
    <x:row r="17" ht="15" hidden="0" customHeight="1">
      <x:c r="A17" s="19" t="str">
        <x:v>OP-100000</x:v>
      </x:c>
      <x:c r="B17" s="19" t="str">
        <x:v>CT-03</x:v>
      </x:c>
      <x:c r="C17" s="19" t="str">
        <x:v>M03</x:v>
      </x:c>
      <x:c r="D17" s="19" t="str">
        <x:v>Falta de operador</x:v>
      </x:c>
      <x:c r="E17" s="19" t="n">
        <x:v>2</x:v>
      </x:c>
      <x:c r="F17" s="19" t="str">
        <x:v>Alta</x:v>
      </x:c>
      <x:c r="G17" s="19" t="str">
        <x:v>Analista PCP 01</x:v>
      </x:c>
    </x:row>
    <x:row r="18" ht="15" hidden="0" customHeight="1">
      <x:c r="A18" s="19" t="str">
        <x:v>OP-100002</x:v>
      </x:c>
      <x:c r="B18" s="19" t="str">
        <x:v>CT-03</x:v>
      </x:c>
      <x:c r="C18" s="19" t="str">
        <x:v>M02</x:v>
      </x:c>
      <x:c r="D18" s="19" t="str">
        <x:v>Falta de material</x:v>
      </x:c>
      <x:c r="E18" s="19" t="n">
        <x:v>3</x:v>
      </x:c>
      <x:c r="F18" s="19" t="str">
        <x:v>Média</x:v>
      </x:c>
      <x:c r="G18" s="19" t="str">
        <x:v>Analista PCP 02</x:v>
      </x:c>
    </x:row>
    <x:row r="19" ht="15" hidden="0" customHeight="1">
      <x:c r="A19" s="19" t="str">
        <x:v>OP-100004</x:v>
      </x:c>
      <x:c r="B19" s="19" t="str">
        <x:v>CT-01</x:v>
      </x:c>
      <x:c r="C19" s="19" t="str">
        <x:v>M03</x:v>
      </x:c>
      <x:c r="D19" s="19" t="str">
        <x:v>Falta de operador</x:v>
      </x:c>
      <x:c r="E19" s="19" t="n">
        <x:v>4</x:v>
      </x:c>
      <x:c r="F19" s="19" t="str">
        <x:v>Baixa</x:v>
      </x:c>
      <x:c r="G19" s="19" t="str">
        <x:v>Analista PCP 03</x:v>
      </x:c>
    </x:row>
  </x:sheetData>
  <x:dataValidations count="1">
    <x:dataValidation type="list" sqref="F2:F19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7e21a260a245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5" hidden="0" customWidth="1"/>
    <x:col min="10" max="10" width="20" hidden="0" customWidth="1"/>
  </x:cols>
  <x:sheetData>
    <x:row r="1" ht="15" hidden="0" customHeight="1">
      <x:c r="A1" s="16" t="str">
        <x:v>material</x:v>
      </x:c>
      <x:c r="B1" s="17" t="str">
        <x:v>descricao</x:v>
      </x:c>
      <x:c r="C1" s="17" t="str">
        <x:v>familia</x:v>
      </x:c>
      <x:c r="D1" s="17" t="str">
        <x:v>cod_fornecedor</x:v>
      </x:c>
      <x:c r="E1" s="17" t="str">
        <x:v>estoque_atual</x:v>
      </x:c>
      <x:c r="F1" s="17" t="str">
        <x:v>estoque_seguranca</x:v>
      </x:c>
      <x:c r="G1" s="17" t="str">
        <x:v>consumo_medio_diario</x:v>
      </x:c>
      <x:c r="H1" s="17" t="str">
        <x:v>lead_time_dias</x:v>
      </x:c>
      <x:c r="I1" s="17" t="str">
        <x:v>custo_unitario</x:v>
      </x:c>
      <x:c r="J1" s="18" t="str">
        <x:v>fornecedor</x:v>
      </x:c>
    </x:row>
    <x:row r="2" ht="15" hidden="0" customHeight="1">
      <x:c r="A2" s="19" t="str">
        <x:v>PF-1000</x:v>
      </x:c>
      <x:c r="B2" s="19" t="str">
        <x:v>Perfis e Suportes tipo 1</x:v>
      </x:c>
      <x:c r="C2" s="19" t="str">
        <x:v>Perfis e Suportes</x:v>
      </x:c>
      <x:c r="D2" s="19" t="str">
        <x:v>F004</x:v>
      </x:c>
      <x:c r="E2" s="19" t="n">
        <x:v>810</x:v>
      </x:c>
      <x:c r="F2" s="19" t="n">
        <x:v>277</x:v>
      </x:c>
      <x:c r="G2" s="19" t="n">
        <x:v>49.1</x:v>
      </x:c>
      <x:c r="H2" s="19" t="n">
        <x:v>11</x:v>
      </x:c>
      <x:c r="I2" s="20" t="n">
        <x:v>24.2</x:v>
      </x:c>
      <x:c r="J2" s="19" t="str">
        <x:v>Fornecedor Delta</x:v>
      </x:c>
    </x:row>
    <x:row r="3" ht="15" hidden="0" customHeight="1">
      <x:c r="A3" s="19" t="str">
        <x:v>DB-1001</x:v>
      </x:c>
      <x:c r="B3" s="19" t="str">
        <x:v>Dobradiças tipo 2</x:v>
      </x:c>
      <x:c r="C3" s="19" t="str">
        <x:v>Dobradiças</x:v>
      </x:c>
      <x:c r="D3" s="19" t="str">
        <x:v>F003</x:v>
      </x:c>
      <x:c r="E3" s="19" t="n">
        <x:v>1079</x:v>
      </x:c>
      <x:c r="F3" s="19" t="n">
        <x:v>499</x:v>
      </x:c>
      <x:c r="G3" s="19" t="n">
        <x:v>52.5</x:v>
      </x:c>
      <x:c r="H3" s="19" t="n">
        <x:v>5</x:v>
      </x:c>
      <x:c r="I3" s="20" t="n">
        <x:v>32.95</x:v>
      </x:c>
      <x:c r="J3" s="19" t="str">
        <x:v>Fornecedor Gama</x:v>
      </x:c>
    </x:row>
    <x:row r="4" ht="15" hidden="0" customHeight="1">
      <x:c r="A4" s="19" t="str">
        <x:v>MP-1002</x:v>
      </x:c>
      <x:c r="B4" s="19" t="str">
        <x:v>Matéria-Prima tipo 3</x:v>
      </x:c>
      <x:c r="C4" s="19" t="str">
        <x:v>Matéria-Prima</x:v>
      </x:c>
      <x:c r="D4" s="19" t="str">
        <x:v>F001</x:v>
      </x:c>
      <x:c r="E4" s="19" t="n">
        <x:v>130</x:v>
      </x:c>
      <x:c r="F4" s="19" t="n">
        <x:v>260</x:v>
      </x:c>
      <x:c r="G4" s="19" t="n">
        <x:v>31</x:v>
      </x:c>
      <x:c r="H4" s="19" t="n">
        <x:v>13</x:v>
      </x:c>
      <x:c r="I4" s="20" t="n">
        <x:v>18.51</x:v>
      </x:c>
      <x:c r="J4" s="19" t="str">
        <x:v>Fornecedor Alpha</x:v>
      </x:c>
    </x:row>
    <x:row r="5" ht="15" hidden="0" customHeight="1">
      <x:c r="A5" s="19" t="str">
        <x:v>AC-1003</x:v>
      </x:c>
      <x:c r="B5" s="19" t="str">
        <x:v>Acessórios tipo 4</x:v>
      </x:c>
      <x:c r="C5" s="19" t="str">
        <x:v>Acessórios</x:v>
      </x:c>
      <x:c r="D5" s="19" t="str">
        <x:v>F002</x:v>
      </x:c>
      <x:c r="E5" s="19" t="n">
        <x:v>560</x:v>
      </x:c>
      <x:c r="F5" s="19" t="n">
        <x:v>190</x:v>
      </x:c>
      <x:c r="G5" s="19" t="n">
        <x:v>28.5</x:v>
      </x:c>
      <x:c r="H5" s="19" t="n">
        <x:v>7</x:v>
      </x:c>
      <x:c r="I5" s="20" t="n">
        <x:v>12.9</x:v>
      </x:c>
      <x:c r="J5" s="19" t="str">
        <x:v>Fornecedor Beta</x:v>
      </x:c>
    </x:row>
    <x:row r="6" ht="15" hidden="0" customHeight="1">
      <x:c r="A6" s="19" t="str">
        <x:v>TR-1004</x:v>
      </x:c>
      <x:c r="B6" s="19" t="str">
        <x:v>Travas e Fechos tipo 5</x:v>
      </x:c>
      <x:c r="C6" s="19" t="str">
        <x:v>Travas e Fechos</x:v>
      </x:c>
      <x:c r="D6" s="19" t="str">
        <x:v>F005</x:v>
      </x:c>
      <x:c r="E6" s="19" t="n">
        <x:v>95</x:v>
      </x:c>
      <x:c r="F6" s="19" t="n">
        <x:v>210</x:v>
      </x:c>
      <x:c r="G6" s="19" t="n">
        <x:v>22.4</x:v>
      </x:c>
      <x:c r="H6" s="19" t="n">
        <x:v>12</x:v>
      </x:c>
      <x:c r="I6" s="20" t="n">
        <x:v>47.8</x:v>
      </x:c>
      <x:c r="J6" s="19" t="str">
        <x:v>Fornecedor Épsilon</x:v>
      </x:c>
    </x:row>
    <x:row r="7" ht="15" hidden="0" customHeight="1">
      <x:c r="A7" s="19" t="str">
        <x:v>PF-1005</x:v>
      </x:c>
      <x:c r="B7" s="19" t="str">
        <x:v>Perfis e Suportes tipo 6</x:v>
      </x:c>
      <x:c r="C7" s="19" t="str">
        <x:v>Perfis e Suportes</x:v>
      </x:c>
      <x:c r="D7" s="19" t="str">
        <x:v>F001</x:v>
      </x:c>
      <x:c r="E7" s="19" t="n">
        <x:v>300</x:v>
      </x:c>
      <x:c r="F7" s="19" t="n">
        <x:v>250</x:v>
      </x:c>
      <x:c r="G7" s="19" t="n">
        <x:v>42</x:v>
      </x:c>
      <x:c r="H7" s="19" t="n">
        <x:v>14</x:v>
      </x:c>
      <x:c r="I7" s="20" t="n">
        <x:v>29.6</x:v>
      </x:c>
      <x:c r="J7" s="19" t="str">
        <x:v>Fornecedor Alpha</x:v>
      </x:c>
    </x:row>
    <x:row r="8" ht="15" hidden="0" customHeight="1">
      <x:c r="A8" s="19" t="str">
        <x:v>DB-1006</x:v>
      </x:c>
      <x:c r="B8" s="19" t="str">
        <x:v>Dobradiças tipo 7</x:v>
      </x:c>
      <x:c r="C8" s="19" t="str">
        <x:v>Dobradiças</x:v>
      </x:c>
      <x:c r="D8" s="19" t="str">
        <x:v>F003</x:v>
      </x:c>
      <x:c r="E8" s="19" t="n">
        <x:v>880</x:v>
      </x:c>
      <x:c r="F8" s="19" t="n">
        <x:v>320</x:v>
      </x:c>
      <x:c r="G8" s="19" t="n">
        <x:v>35.5</x:v>
      </x:c>
      <x:c r="H8" s="19" t="n">
        <x:v>6</x:v>
      </x:c>
      <x:c r="I8" s="20" t="n">
        <x:v>39.9</x:v>
      </x:c>
      <x:c r="J8" s="19" t="str">
        <x:v>Fornecedor Gama</x:v>
      </x:c>
    </x:row>
    <x:row r="9" ht="15" hidden="0" customHeight="1">
      <x:c r="A9" s="19" t="str">
        <x:v>MP-1007</x:v>
      </x:c>
      <x:c r="B9" s="19" t="str">
        <x:v>Matéria-Prima tipo 8</x:v>
      </x:c>
      <x:c r="C9" s="19" t="str">
        <x:v>Matéria-Prima</x:v>
      </x:c>
      <x:c r="D9" s="19" t="str">
        <x:v>F001</x:v>
      </x:c>
      <x:c r="E9" s="19" t="n">
        <x:v>210</x:v>
      </x:c>
      <x:c r="F9" s="19" t="n">
        <x:v>300</x:v>
      </x:c>
      <x:c r="G9" s="19" t="n">
        <x:v>38</x:v>
      </x:c>
      <x:c r="H9" s="19" t="n">
        <x:v>15</x:v>
      </x:c>
      <x:c r="I9" s="20" t="n">
        <x:v>22.4</x:v>
      </x:c>
      <x:c r="J9" s="19" t="str">
        <x:v>Fornecedor Alpha</x:v>
      </x:c>
    </x:row>
    <x:row r="10" ht="15" hidden="0" customHeight="1">
      <x:c r="A10" s="19" t="str">
        <x:v>AC-1008</x:v>
      </x:c>
      <x:c r="B10" s="19" t="str">
        <x:v>Acessórios tipo 9</x:v>
      </x:c>
      <x:c r="C10" s="19" t="str">
        <x:v>Acessórios</x:v>
      </x:c>
      <x:c r="D10" s="19" t="str">
        <x:v>F002</x:v>
      </x:c>
      <x:c r="E10" s="19" t="n">
        <x:v>690</x:v>
      </x:c>
      <x:c r="F10" s="19" t="n">
        <x:v>220</x:v>
      </x:c>
      <x:c r="G10" s="19" t="n">
        <x:v>26</x:v>
      </x:c>
      <x:c r="H10" s="19" t="n">
        <x:v>8</x:v>
      </x:c>
      <x:c r="I10" s="20" t="n">
        <x:v>14.7</x:v>
      </x:c>
      <x:c r="J10" s="19" t="str">
        <x:v>Fornecedor Beta</x:v>
      </x:c>
    </x:row>
    <x:row r="11" ht="15" hidden="0" customHeight="1">
      <x:c r="A11" s="19" t="str">
        <x:v>TR-1009</x:v>
      </x:c>
      <x:c r="B11" s="19" t="str">
        <x:v>Travas e Fechos tipo 10</x:v>
      </x:c>
      <x:c r="C11" s="19" t="str">
        <x:v>Travas e Fechos</x:v>
      </x:c>
      <x:c r="D11" s="19" t="str">
        <x:v>F004</x:v>
      </x:c>
      <x:c r="E11" s="19" t="n">
        <x:v>420</x:v>
      </x:c>
      <x:c r="F11" s="19" t="n">
        <x:v>180</x:v>
      </x:c>
      <x:c r="G11" s="19" t="n">
        <x:v>19.5</x:v>
      </x:c>
      <x:c r="H11" s="19" t="n">
        <x:v>10</x:v>
      </x:c>
      <x:c r="I11" s="20" t="n">
        <x:v>55.2</x:v>
      </x:c>
      <x:c r="J11" s="19" t="str">
        <x:v>Fornecedor Delta</x:v>
      </x:c>
    </x:row>
    <x:row r="12" ht="15" hidden="0" customHeight="1">
      <x:c r="A12" s="19" t="str">
        <x:v>PF-1010</x:v>
      </x:c>
      <x:c r="B12" s="19" t="str">
        <x:v>Perfis e Suportes tipo 11</x:v>
      </x:c>
      <x:c r="C12" s="19" t="str">
        <x:v>Perfis e Suportes</x:v>
      </x:c>
      <x:c r="D12" s="19" t="str">
        <x:v>F001</x:v>
      </x:c>
      <x:c r="E12" s="19" t="n">
        <x:v>160</x:v>
      </x:c>
      <x:c r="F12" s="19" t="n">
        <x:v>280</x:v>
      </x:c>
      <x:c r="G12" s="19" t="n">
        <x:v>44</x:v>
      </x:c>
      <x:c r="H12" s="19" t="n">
        <x:v>16</x:v>
      </x:c>
      <x:c r="I12" s="20" t="n">
        <x:v>31.1</x:v>
      </x:c>
      <x:c r="J12" s="19" t="str">
        <x:v>Fornecedor Alpha</x:v>
      </x:c>
    </x:row>
    <x:row r="13" ht="15" hidden="0" customHeight="1">
      <x:c r="A13" s="19" t="str">
        <x:v>DB-1011</x:v>
      </x:c>
      <x:c r="B13" s="19" t="str">
        <x:v>Dobradiças tipo 12</x:v>
      </x:c>
      <x:c r="C13" s="19" t="str">
        <x:v>Dobradiças</x:v>
      </x:c>
      <x:c r="D13" s="19" t="str">
        <x:v>F003</x:v>
      </x:c>
      <x:c r="E13" s="19" t="n">
        <x:v>740</x:v>
      </x:c>
      <x:c r="F13" s="19" t="n">
        <x:v>290</x:v>
      </x:c>
      <x:c r="G13" s="19" t="n">
        <x:v>33</x:v>
      </x:c>
      <x:c r="H13" s="19" t="n">
        <x:v>5</x:v>
      </x:c>
      <x:c r="I13" s="20" t="n">
        <x:v>36.8</x:v>
      </x:c>
      <x:c r="J13" s="19" t="str">
        <x:v>Fornecedor Gama</x:v>
      </x:c>
    </x:row>
  </x:sheetData>
  <x:pageMargins left="0.7" right="0.7" top="0.75" bottom="0.75" header="0.3" footer="0.3"/>
  <x:tableParts count="1">
    <x:tablePart xmlns:r="http://schemas.openxmlformats.org/officeDocument/2006/relationships" r:id="R9be7f7642e064b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4" hidden="0" customWidth="1"/>
    <x:col min="8" max="8" width="16" hidden="0" customWidth="1"/>
    <x:col min="9" max="9" width="14" hidden="0" customWidth="1"/>
  </x:cols>
  <x:sheetData>
    <x:row r="1" ht="15" hidden="0" customHeight="1">
      <x:c r="A1" s="16" t="str">
        <x:v>pedido</x:v>
      </x:c>
      <x:c r="B1" s="17" t="str">
        <x:v>cliente</x:v>
      </x:c>
      <x:c r="C1" s="17" t="str">
        <x:v>material</x:v>
      </x:c>
      <x:c r="D1" s="17" t="str">
        <x:v>familia</x:v>
      </x:c>
      <x:c r="E1" s="17" t="str">
        <x:v>data_pedido</x:v>
      </x:c>
      <x:c r="F1" s="17" t="str">
        <x:v>data_prometida</x:v>
      </x:c>
      <x:c r="G1" s="17" t="str">
        <x:v>quantidade</x:v>
      </x:c>
      <x:c r="H1" s="17" t="str">
        <x:v>valor_unitario</x:v>
      </x:c>
      <x:c r="I1" s="18" t="str">
        <x:v>status</x:v>
      </x:c>
    </x:row>
    <x:row r="2" ht="15" hidden="0" customHeight="1">
      <x:c r="A2" s="19" t="str">
        <x:v>PV-50000</x:v>
      </x:c>
      <x:c r="B2" s="19" t="str">
        <x:v>Cliente 01</x:v>
      </x:c>
      <x:c r="C2" s="19" t="str">
        <x:v>PF-1000</x:v>
      </x:c>
      <x:c r="D2" s="19" t="str">
        <x:v>Perfis e Suportes</x:v>
      </x:c>
      <x:c r="E2" s="22" t="n">
        <x:v>46023</x:v>
      </x:c>
      <x:c r="F2" s="22" t="n">
        <x:v>46043</x:v>
      </x:c>
      <x:c r="G2" s="19" t="n">
        <x:v>50</x:v>
      </x:c>
      <x:c r="H2" s="20" t="n">
        <x:v>58.08</x:v>
      </x:c>
      <x:c r="I2" s="19" t="str">
        <x:v>aberto</x:v>
      </x:c>
    </x:row>
    <x:row r="3" ht="15" hidden="0" customHeight="1">
      <x:c r="A3" s="19" t="str">
        <x:v>PV-50001</x:v>
      </x:c>
      <x:c r="B3" s="19" t="str">
        <x:v>Cliente 02</x:v>
      </x:c>
      <x:c r="C3" s="19" t="str">
        <x:v>AC-1003</x:v>
      </x:c>
      <x:c r="D3" s="19" t="str">
        <x:v>Acessórios</x:v>
      </x:c>
      <x:c r="E3" s="22" t="n">
        <x:v>46055</x:v>
      </x:c>
      <x:c r="F3" s="22" t="n">
        <x:v>46076</x:v>
      </x:c>
      <x:c r="G3" s="19" t="n">
        <x:v>100</x:v>
      </x:c>
      <x:c r="H3" s="20" t="n">
        <x:v>31.96</x:v>
      </x:c>
      <x:c r="I3" s="19" t="str">
        <x:v>atendido</x:v>
      </x:c>
    </x:row>
    <x:row r="4" ht="15" hidden="0" customHeight="1">
      <x:c r="A4" s="19" t="str">
        <x:v>PV-50002</x:v>
      </x:c>
      <x:c r="B4" s="19" t="str">
        <x:v>Cliente 03</x:v>
      </x:c>
      <x:c r="C4" s="19" t="str">
        <x:v>DB-1006</x:v>
      </x:c>
      <x:c r="D4" s="19" t="str">
        <x:v>Dobradiças</x:v>
      </x:c>
      <x:c r="E4" s="22" t="n">
        <x:v>46084</x:v>
      </x:c>
      <x:c r="F4" s="22" t="n">
        <x:v>46106</x:v>
      </x:c>
      <x:c r="G4" s="19" t="n">
        <x:v>150</x:v>
      </x:c>
      <x:c r="H4" s="20" t="n">
        <x:v>97.76</x:v>
      </x:c>
      <x:c r="I4" s="19" t="str">
        <x:v>atendido</x:v>
      </x:c>
    </x:row>
    <x:row r="5" ht="15" hidden="0" customHeight="1">
      <x:c r="A5" s="19" t="str">
        <x:v>PV-50003</x:v>
      </x:c>
      <x:c r="B5" s="19" t="str">
        <x:v>Cliente 04</x:v>
      </x:c>
      <x:c r="C5" s="19" t="str">
        <x:v>TR-1009</x:v>
      </x:c>
      <x:c r="D5" s="19" t="str">
        <x:v>Travas e Fechos</x:v>
      </x:c>
      <x:c r="E5" s="22" t="n">
        <x:v>46116</x:v>
      </x:c>
      <x:c r="F5" s="22" t="n">
        <x:v>46139</x:v>
      </x:c>
      <x:c r="G5" s="19" t="n">
        <x:v>200</x:v>
      </x:c>
      <x:c r="H5" s="20" t="n">
        <x:v>135.48</x:v>
      </x:c>
      <x:c r="I5" s="19" t="str">
        <x:v>atendido</x:v>
      </x:c>
    </x:row>
    <x:row r="6" ht="15" hidden="0" customHeight="1">
      <x:c r="A6" s="19" t="str">
        <x:v>PV-50004</x:v>
      </x:c>
      <x:c r="B6" s="19" t="str">
        <x:v>Cliente 05</x:v>
      </x:c>
      <x:c r="C6" s="19" t="str">
        <x:v>PF-1000</x:v>
      </x:c>
      <x:c r="D6" s="19" t="str">
        <x:v>Perfis e Suportes</x:v>
      </x:c>
      <x:c r="E6" s="22" t="n">
        <x:v>46147</x:v>
      </x:c>
      <x:c r="F6" s="22" t="n">
        <x:v>46171</x:v>
      </x:c>
      <x:c r="G6" s="19" t="n">
        <x:v>250</x:v>
      </x:c>
      <x:c r="H6" s="20" t="n">
        <x:v>62.08</x:v>
      </x:c>
      <x:c r="I6" s="19" t="str">
        <x:v>aberto</x:v>
      </x:c>
    </x:row>
    <x:row r="7" ht="15" hidden="0" customHeight="1">
      <x:c r="A7" s="19" t="str">
        <x:v>PV-50005</x:v>
      </x:c>
      <x:c r="B7" s="19" t="str">
        <x:v>Cliente 06</x:v>
      </x:c>
      <x:c r="C7" s="19" t="str">
        <x:v>AC-1003</x:v>
      </x:c>
      <x:c r="D7" s="19" t="str">
        <x:v>Acessórios</x:v>
      </x:c>
      <x:c r="E7" s="22" t="n">
        <x:v>46179</x:v>
      </x:c>
      <x:c r="F7" s="22" t="n">
        <x:v>46204</x:v>
      </x:c>
      <x:c r="G7" s="19" t="n">
        <x:v>300</x:v>
      </x:c>
      <x:c r="H7" s="20" t="n">
        <x:v>35.96</x:v>
      </x:c>
      <x:c r="I7" s="19" t="str">
        <x:v>atendido</x:v>
      </x:c>
    </x:row>
    <x:row r="8" ht="15" hidden="0" customHeight="1">
      <x:c r="A8" s="19" t="str">
        <x:v>PV-50006</x:v>
      </x:c>
      <x:c r="B8" s="19" t="str">
        <x:v>Cliente 07</x:v>
      </x:c>
      <x:c r="C8" s="19" t="str">
        <x:v>DB-1006</x:v>
      </x:c>
      <x:c r="D8" s="19" t="str">
        <x:v>Dobradiças</x:v>
      </x:c>
      <x:c r="E8" s="22" t="n">
        <x:v>46210</x:v>
      </x:c>
      <x:c r="F8" s="22" t="n">
        <x:v>46236</x:v>
      </x:c>
      <x:c r="G8" s="19" t="n">
        <x:v>50</x:v>
      </x:c>
      <x:c r="H8" s="20" t="n">
        <x:v>101.76</x:v>
      </x:c>
      <x:c r="I8" s="19" t="str">
        <x:v>atendido</x:v>
      </x:c>
    </x:row>
    <x:row r="9" ht="15" hidden="0" customHeight="1">
      <x:c r="A9" s="19" t="str">
        <x:v>PV-50007</x:v>
      </x:c>
      <x:c r="B9" s="19" t="str">
        <x:v>Cliente 08</x:v>
      </x:c>
      <x:c r="C9" s="19" t="str">
        <x:v>TR-1009</x:v>
      </x:c>
      <x:c r="D9" s="19" t="str">
        <x:v>Travas e Fechos</x:v>
      </x:c>
      <x:c r="E9" s="22" t="n">
        <x:v>46242</x:v>
      </x:c>
      <x:c r="F9" s="22" t="n">
        <x:v>46269</x:v>
      </x:c>
      <x:c r="G9" s="19" t="n">
        <x:v>100</x:v>
      </x:c>
      <x:c r="H9" s="20" t="n">
        <x:v>132.48</x:v>
      </x:c>
      <x:c r="I9" s="19" t="str">
        <x:v>atendido</x:v>
      </x:c>
    </x:row>
    <x:row r="10" ht="15" hidden="0" customHeight="1">
      <x:c r="A10" s="19" t="str">
        <x:v>PV-50008</x:v>
      </x:c>
      <x:c r="B10" s="19" t="str">
        <x:v>Cliente 01</x:v>
      </x:c>
      <x:c r="C10" s="19" t="str">
        <x:v>PF-1000</x:v>
      </x:c>
      <x:c r="D10" s="19" t="str">
        <x:v>Perfis e Suportes</x:v>
      </x:c>
      <x:c r="E10" s="22" t="n">
        <x:v>46274</x:v>
      </x:c>
      <x:c r="F10" s="22" t="n">
        <x:v>46302</x:v>
      </x:c>
      <x:c r="G10" s="19" t="n">
        <x:v>150</x:v>
      </x:c>
      <x:c r="H10" s="20" t="n">
        <x:v>59.08</x:v>
      </x:c>
      <x:c r="I10" s="19" t="str">
        <x:v>aberto</x:v>
      </x:c>
    </x:row>
    <x:row r="11" ht="15" hidden="0" customHeight="1">
      <x:c r="A11" s="19" t="str">
        <x:v>PV-50009</x:v>
      </x:c>
      <x:c r="B11" s="19" t="str">
        <x:v>Cliente 02</x:v>
      </x:c>
      <x:c r="C11" s="19" t="str">
        <x:v>AC-1003</x:v>
      </x:c>
      <x:c r="D11" s="19" t="str">
        <x:v>Acessórios</x:v>
      </x:c>
      <x:c r="E11" s="22" t="n">
        <x:v>46305</x:v>
      </x:c>
      <x:c r="F11" s="22" t="n">
        <x:v>46334</x:v>
      </x:c>
      <x:c r="G11" s="19" t="n">
        <x:v>200</x:v>
      </x:c>
      <x:c r="H11" s="20" t="n">
        <x:v>32.96</x:v>
      </x:c>
      <x:c r="I11" s="19" t="str">
        <x:v>atendido</x:v>
      </x:c>
    </x:row>
    <x:row r="12" ht="15" hidden="0" customHeight="1">
      <x:c r="A12" s="19" t="str">
        <x:v>PV-50010</x:v>
      </x:c>
      <x:c r="B12" s="19" t="str">
        <x:v>Cliente 03</x:v>
      </x:c>
      <x:c r="C12" s="19" t="str">
        <x:v>DB-1006</x:v>
      </x:c>
      <x:c r="D12" s="19" t="str">
        <x:v>Dobradiças</x:v>
      </x:c>
      <x:c r="E12" s="22" t="n">
        <x:v>46337</x:v>
      </x:c>
      <x:c r="F12" s="22" t="n">
        <x:v>46367</x:v>
      </x:c>
      <x:c r="G12" s="19" t="n">
        <x:v>250</x:v>
      </x:c>
      <x:c r="H12" s="20" t="n">
        <x:v>98.76</x:v>
      </x:c>
      <x:c r="I12" s="19" t="str">
        <x:v>atendido</x:v>
      </x:c>
    </x:row>
    <x:row r="13" ht="15" hidden="0" customHeight="1">
      <x:c r="A13" s="19" t="str">
        <x:v>PV-50011</x:v>
      </x:c>
      <x:c r="B13" s="19" t="str">
        <x:v>Cliente 04</x:v>
      </x:c>
      <x:c r="C13" s="19" t="str">
        <x:v>TR-1009</x:v>
      </x:c>
      <x:c r="D13" s="19" t="str">
        <x:v>Travas e Fechos</x:v>
      </x:c>
      <x:c r="E13" s="22" t="n">
        <x:v>46368</x:v>
      </x:c>
      <x:c r="F13" s="22" t="n">
        <x:v>46399</x:v>
      </x:c>
      <x:c r="G13" s="19" t="n">
        <x:v>300</x:v>
      </x:c>
      <x:c r="H13" s="20" t="n">
        <x:v>136.48</x:v>
      </x:c>
      <x:c r="I13" s="19" t="str">
        <x:v>atendido</x:v>
      </x:c>
    </x:row>
    <x:row r="14" ht="15" hidden="0" customHeight="1">
      <x:c r="A14" s="19" t="str">
        <x:v>PV-50012</x:v>
      </x:c>
      <x:c r="B14" s="19" t="str">
        <x:v>Cliente 05</x:v>
      </x:c>
      <x:c r="C14" s="19" t="str">
        <x:v>PF-1000</x:v>
      </x:c>
      <x:c r="D14" s="19" t="str">
        <x:v>Perfis e Suportes</x:v>
      </x:c>
      <x:c r="E14" s="22" t="n">
        <x:v>46035</x:v>
      </x:c>
      <x:c r="F14" s="22" t="n">
        <x:v>46067</x:v>
      </x:c>
      <x:c r="G14" s="19" t="n">
        <x:v>50</x:v>
      </x:c>
      <x:c r="H14" s="20" t="n">
        <x:v>63.08</x:v>
      </x:c>
      <x:c r="I14" s="19" t="str">
        <x:v>aberto</x:v>
      </x:c>
    </x:row>
    <x:row r="15" ht="15" hidden="0" customHeight="1">
      <x:c r="A15" s="19" t="str">
        <x:v>PV-50013</x:v>
      </x:c>
      <x:c r="B15" s="19" t="str">
        <x:v>Cliente 06</x:v>
      </x:c>
      <x:c r="C15" s="19" t="str">
        <x:v>AC-1003</x:v>
      </x:c>
      <x:c r="D15" s="19" t="str">
        <x:v>Acessórios</x:v>
      </x:c>
      <x:c r="E15" s="22" t="n">
        <x:v>46067</x:v>
      </x:c>
      <x:c r="F15" s="22" t="n">
        <x:v>46100</x:v>
      </x:c>
      <x:c r="G15" s="19" t="n">
        <x:v>100</x:v>
      </x:c>
      <x:c r="H15" s="20" t="n">
        <x:v>36.96</x:v>
      </x:c>
      <x:c r="I15" s="19" t="str">
        <x:v>atendido</x:v>
      </x:c>
    </x:row>
    <x:row r="16" ht="15" hidden="0" customHeight="1">
      <x:c r="A16" s="19" t="str">
        <x:v>PV-50014</x:v>
      </x:c>
      <x:c r="B16" s="19" t="str">
        <x:v>Cliente 07</x:v>
      </x:c>
      <x:c r="C16" s="19" t="str">
        <x:v>DB-1006</x:v>
      </x:c>
      <x:c r="D16" s="19" t="str">
        <x:v>Dobradiças</x:v>
      </x:c>
      <x:c r="E16" s="22" t="n">
        <x:v>46096</x:v>
      </x:c>
      <x:c r="F16" s="22" t="n">
        <x:v>46130</x:v>
      </x:c>
      <x:c r="G16" s="19" t="n">
        <x:v>150</x:v>
      </x:c>
      <x:c r="H16" s="20" t="n">
        <x:v>95.76</x:v>
      </x:c>
      <x:c r="I16" s="19" t="str">
        <x:v>atendido</x:v>
      </x:c>
    </x:row>
    <x:row r="17" ht="15" hidden="0" customHeight="1">
      <x:c r="A17" s="19" t="str">
        <x:v>PV-50015</x:v>
      </x:c>
      <x:c r="B17" s="19" t="str">
        <x:v>Cliente 08</x:v>
      </x:c>
      <x:c r="C17" s="19" t="str">
        <x:v>TR-1009</x:v>
      </x:c>
      <x:c r="D17" s="19" t="str">
        <x:v>Travas e Fechos</x:v>
      </x:c>
      <x:c r="E17" s="22" t="n">
        <x:v>46128</x:v>
      </x:c>
      <x:c r="F17" s="22" t="n">
        <x:v>46163</x:v>
      </x:c>
      <x:c r="G17" s="19" t="n">
        <x:v>200</x:v>
      </x:c>
      <x:c r="H17" s="20" t="n">
        <x:v>133.48</x:v>
      </x:c>
      <x:c r="I17" s="19" t="str">
        <x:v>atendido</x:v>
      </x:c>
    </x:row>
    <x:row r="18" ht="15" hidden="0" customHeight="1">
      <x:c r="A18" s="19" t="str">
        <x:v>PV-50016</x:v>
      </x:c>
      <x:c r="B18" s="19" t="str">
        <x:v>Cliente 01</x:v>
      </x:c>
      <x:c r="C18" s="19" t="str">
        <x:v>PF-1000</x:v>
      </x:c>
      <x:c r="D18" s="19" t="str">
        <x:v>Perfis e Suportes</x:v>
      </x:c>
      <x:c r="E18" s="22" t="n">
        <x:v>46159</x:v>
      </x:c>
      <x:c r="F18" s="22" t="n">
        <x:v>46195</x:v>
      </x:c>
      <x:c r="G18" s="19" t="n">
        <x:v>250</x:v>
      </x:c>
      <x:c r="H18" s="20" t="n">
        <x:v>60.08</x:v>
      </x:c>
      <x:c r="I18" s="19" t="str">
        <x:v>aberto</x:v>
      </x:c>
    </x:row>
    <x:row r="19" ht="15" hidden="0" customHeight="1">
      <x:c r="A19" s="19" t="str">
        <x:v>PV-50017</x:v>
      </x:c>
      <x:c r="B19" s="19" t="str">
        <x:v>Cliente 02</x:v>
      </x:c>
      <x:c r="C19" s="19" t="str">
        <x:v>AC-1003</x:v>
      </x:c>
      <x:c r="D19" s="19" t="str">
        <x:v>Acessórios</x:v>
      </x:c>
      <x:c r="E19" s="22" t="n">
        <x:v>46191</x:v>
      </x:c>
      <x:c r="F19" s="22" t="n">
        <x:v>46228</x:v>
      </x:c>
      <x:c r="G19" s="19" t="n">
        <x:v>300</x:v>
      </x:c>
      <x:c r="H19" s="20" t="n">
        <x:v>33.96</x:v>
      </x:c>
      <x:c r="I19" s="19" t="str">
        <x:v>atendido</x:v>
      </x:c>
    </x:row>
    <x:row r="20" ht="15" hidden="0" customHeight="1">
      <x:c r="A20" s="19" t="str">
        <x:v>PV-50018</x:v>
      </x:c>
      <x:c r="B20" s="19" t="str">
        <x:v>Cliente 03</x:v>
      </x:c>
      <x:c r="C20" s="19" t="str">
        <x:v>DB-1006</x:v>
      </x:c>
      <x:c r="D20" s="19" t="str">
        <x:v>Dobradiças</x:v>
      </x:c>
      <x:c r="E20" s="22" t="n">
        <x:v>46222</x:v>
      </x:c>
      <x:c r="F20" s="22" t="n">
        <x:v>46260</x:v>
      </x:c>
      <x:c r="G20" s="19" t="n">
        <x:v>50</x:v>
      </x:c>
      <x:c r="H20" s="20" t="n">
        <x:v>99.76</x:v>
      </x:c>
      <x:c r="I20" s="19" t="str">
        <x:v>atendido</x:v>
      </x:c>
    </x:row>
    <x:row r="21" ht="15" hidden="0" customHeight="1">
      <x:c r="A21" s="19" t="str">
        <x:v>PV-50019</x:v>
      </x:c>
      <x:c r="B21" s="19" t="str">
        <x:v>Cliente 04</x:v>
      </x:c>
      <x:c r="C21" s="19" t="str">
        <x:v>TR-1009</x:v>
      </x:c>
      <x:c r="D21" s="19" t="str">
        <x:v>Travas e Fechos</x:v>
      </x:c>
      <x:c r="E21" s="22" t="n">
        <x:v>46254</x:v>
      </x:c>
      <x:c r="F21" s="22" t="n">
        <x:v>46293</x:v>
      </x:c>
      <x:c r="G21" s="19" t="n">
        <x:v>100</x:v>
      </x:c>
      <x:c r="H21" s="20" t="n">
        <x:v>137.48</x:v>
      </x:c>
      <x:c r="I21" s="19" t="str">
        <x:v>atendido</x:v>
      </x:c>
    </x:row>
    <x:row r="22" ht="15" hidden="0" customHeight="1">
      <x:c r="A22" s="19" t="str">
        <x:v>PV-50020</x:v>
      </x:c>
      <x:c r="B22" s="19" t="str">
        <x:v>Cliente 05</x:v>
      </x:c>
      <x:c r="C22" s="19" t="str">
        <x:v>PF-1000</x:v>
      </x:c>
      <x:c r="D22" s="19" t="str">
        <x:v>Perfis e Suportes</x:v>
      </x:c>
      <x:c r="E22" s="22" t="n">
        <x:v>46286</x:v>
      </x:c>
      <x:c r="F22" s="22" t="n">
        <x:v>46326</x:v>
      </x:c>
      <x:c r="G22" s="19" t="n">
        <x:v>150</x:v>
      </x:c>
      <x:c r="H22" s="20" t="n">
        <x:v>64.08</x:v>
      </x:c>
      <x:c r="I22" s="19" t="str">
        <x:v>aberto</x:v>
      </x:c>
    </x:row>
    <x:row r="23" ht="15" hidden="0" customHeight="1">
      <x:c r="A23" s="19" t="str">
        <x:v>PV-50021</x:v>
      </x:c>
      <x:c r="B23" s="19" t="str">
        <x:v>Cliente 06</x:v>
      </x:c>
      <x:c r="C23" s="19" t="str">
        <x:v>AC-1003</x:v>
      </x:c>
      <x:c r="D23" s="19" t="str">
        <x:v>Acessórios</x:v>
      </x:c>
      <x:c r="E23" s="22" t="n">
        <x:v>46317</x:v>
      </x:c>
      <x:c r="F23" s="22" t="n">
        <x:v>46358</x:v>
      </x:c>
      <x:c r="G23" s="19" t="n">
        <x:v>200</x:v>
      </x:c>
      <x:c r="H23" s="20" t="n">
        <x:v>30.96</x:v>
      </x:c>
      <x:c r="I23" s="19" t="str">
        <x:v>atendido</x:v>
      </x:c>
    </x:row>
    <x:row r="24" ht="15" hidden="0" customHeight="1">
      <x:c r="A24" s="19" t="str">
        <x:v>PV-50022</x:v>
      </x:c>
      <x:c r="B24" s="19" t="str">
        <x:v>Cliente 07</x:v>
      </x:c>
      <x:c r="C24" s="19" t="str">
        <x:v>DB-1006</x:v>
      </x:c>
      <x:c r="D24" s="19" t="str">
        <x:v>Dobradiças</x:v>
      </x:c>
      <x:c r="E24" s="22" t="n">
        <x:v>46349</x:v>
      </x:c>
      <x:c r="F24" s="22" t="n">
        <x:v>46391</x:v>
      </x:c>
      <x:c r="G24" s="19" t="n">
        <x:v>250</x:v>
      </x:c>
      <x:c r="H24" s="20" t="n">
        <x:v>96.76</x:v>
      </x:c>
      <x:c r="I24" s="19" t="str">
        <x:v>atendido</x:v>
      </x:c>
    </x:row>
    <x:row r="25" ht="15" hidden="0" customHeight="1">
      <x:c r="A25" s="19" t="str">
        <x:v>PV-50023</x:v>
      </x:c>
      <x:c r="B25" s="19" t="str">
        <x:v>Cliente 08</x:v>
      </x:c>
      <x:c r="C25" s="19" t="str">
        <x:v>TR-1009</x:v>
      </x:c>
      <x:c r="D25" s="19" t="str">
        <x:v>Travas e Fechos</x:v>
      </x:c>
      <x:c r="E25" s="22" t="n">
        <x:v>46380</x:v>
      </x:c>
      <x:c r="F25" s="22" t="n">
        <x:v>46423</x:v>
      </x:c>
      <x:c r="G25" s="19" t="n">
        <x:v>300</x:v>
      </x:c>
      <x:c r="H25" s="20" t="n">
        <x:v>134.48</x:v>
      </x:c>
      <x:c r="I25" s="19" t="str">
        <x:v>atendido</x:v>
      </x:c>
    </x:row>
    <x:row r="26" ht="15" hidden="0" customHeight="1">
      <x:c r="A26" s="19" t="str">
        <x:v>PV-50024</x:v>
      </x:c>
      <x:c r="B26" s="19" t="str">
        <x:v>Cliente 01</x:v>
      </x:c>
      <x:c r="C26" s="19" t="str">
        <x:v>PF-1000</x:v>
      </x:c>
      <x:c r="D26" s="19" t="str">
        <x:v>Perfis e Suportes</x:v>
      </x:c>
      <x:c r="E26" s="22" t="n">
        <x:v>46023</x:v>
      </x:c>
      <x:c r="F26" s="22" t="n">
        <x:v>46067</x:v>
      </x:c>
      <x:c r="G26" s="19" t="n">
        <x:v>50</x:v>
      </x:c>
      <x:c r="H26" s="20" t="n">
        <x:v>61.08</x:v>
      </x:c>
      <x:c r="I26" s="19" t="str">
        <x:v>aberto</x:v>
      </x:c>
    </x:row>
    <x:row r="27" ht="15" hidden="0" customHeight="1">
      <x:c r="A27" s="19" t="str">
        <x:v>PV-50025</x:v>
      </x:c>
      <x:c r="B27" s="19" t="str">
        <x:v>Cliente 02</x:v>
      </x:c>
      <x:c r="C27" s="19" t="str">
        <x:v>AC-1003</x:v>
      </x:c>
      <x:c r="D27" s="19" t="str">
        <x:v>Acessórios</x:v>
      </x:c>
      <x:c r="E27" s="22" t="n">
        <x:v>46055</x:v>
      </x:c>
      <x:c r="F27" s="22" t="n">
        <x:v>46075</x:v>
      </x:c>
      <x:c r="G27" s="19" t="n">
        <x:v>100</x:v>
      </x:c>
      <x:c r="H27" s="20" t="n">
        <x:v>34.96</x:v>
      </x:c>
      <x:c r="I27" s="19" t="str">
        <x:v>atendido</x:v>
      </x:c>
    </x:row>
    <x:row r="28" ht="15" hidden="0" customHeight="1">
      <x:c r="A28" s="19" t="str">
        <x:v>PV-50026</x:v>
      </x:c>
      <x:c r="B28" s="19" t="str">
        <x:v>Cliente 03</x:v>
      </x:c>
      <x:c r="C28" s="19" t="str">
        <x:v>DB-1006</x:v>
      </x:c>
      <x:c r="D28" s="19" t="str">
        <x:v>Dobradiças</x:v>
      </x:c>
      <x:c r="E28" s="22" t="n">
        <x:v>46084</x:v>
      </x:c>
      <x:c r="F28" s="22" t="n">
        <x:v>46105</x:v>
      </x:c>
      <x:c r="G28" s="19" t="n">
        <x:v>150</x:v>
      </x:c>
      <x:c r="H28" s="20" t="n">
        <x:v>100.76</x:v>
      </x:c>
      <x:c r="I28" s="19" t="str">
        <x:v>atendido</x:v>
      </x:c>
    </x:row>
    <x:row r="29" ht="15" hidden="0" customHeight="1">
      <x:c r="A29" s="19" t="str">
        <x:v>PV-50027</x:v>
      </x:c>
      <x:c r="B29" s="19" t="str">
        <x:v>Cliente 04</x:v>
      </x:c>
      <x:c r="C29" s="19" t="str">
        <x:v>TR-1009</x:v>
      </x:c>
      <x:c r="D29" s="19" t="str">
        <x:v>Travas e Fechos</x:v>
      </x:c>
      <x:c r="E29" s="22" t="n">
        <x:v>46116</x:v>
      </x:c>
      <x:c r="F29" s="22" t="n">
        <x:v>46138</x:v>
      </x:c>
      <x:c r="G29" s="19" t="n">
        <x:v>200</x:v>
      </x:c>
      <x:c r="H29" s="20" t="n">
        <x:v>138.48</x:v>
      </x:c>
      <x:c r="I29" s="19" t="str">
        <x:v>atendido</x:v>
      </x:c>
    </x:row>
    <x:row r="30" ht="15" hidden="0" customHeight="1">
      <x:c r="A30" s="19" t="str">
        <x:v>PV-50028</x:v>
      </x:c>
      <x:c r="B30" s="19" t="str">
        <x:v>Cliente 05</x:v>
      </x:c>
      <x:c r="C30" s="19" t="str">
        <x:v>PF-1000</x:v>
      </x:c>
      <x:c r="D30" s="19" t="str">
        <x:v>Perfis e Suportes</x:v>
      </x:c>
      <x:c r="E30" s="22" t="n">
        <x:v>46147</x:v>
      </x:c>
      <x:c r="F30" s="22" t="n">
        <x:v>46170</x:v>
      </x:c>
      <x:c r="G30" s="19" t="n">
        <x:v>250</x:v>
      </x:c>
      <x:c r="H30" s="20" t="n">
        <x:v>58.08</x:v>
      </x:c>
      <x:c r="I30" s="19" t="str">
        <x:v>aberto</x:v>
      </x:c>
    </x:row>
    <x:row r="31" ht="15" hidden="0" customHeight="1">
      <x:c r="A31" s="19" t="str">
        <x:v>PV-50029</x:v>
      </x:c>
      <x:c r="B31" s="19" t="str">
        <x:v>Cliente 06</x:v>
      </x:c>
      <x:c r="C31" s="19" t="str">
        <x:v>AC-1003</x:v>
      </x:c>
      <x:c r="D31" s="19" t="str">
        <x:v>Acessórios</x:v>
      </x:c>
      <x:c r="E31" s="22" t="n">
        <x:v>46179</x:v>
      </x:c>
      <x:c r="F31" s="22" t="n">
        <x:v>46203</x:v>
      </x:c>
      <x:c r="G31" s="19" t="n">
        <x:v>300</x:v>
      </x:c>
      <x:c r="H31" s="20" t="n">
        <x:v>31.96</x:v>
      </x:c>
      <x:c r="I31" s="19" t="str">
        <x:v>atendido</x:v>
      </x:c>
    </x:row>
    <x:row r="32" ht="15" hidden="0" customHeight="1">
      <x:c r="A32" s="19" t="str">
        <x:v>PV-50030</x:v>
      </x:c>
      <x:c r="B32" s="19" t="str">
        <x:v>Cliente 07</x:v>
      </x:c>
      <x:c r="C32" s="19" t="str">
        <x:v>DB-1006</x:v>
      </x:c>
      <x:c r="D32" s="19" t="str">
        <x:v>Dobradiças</x:v>
      </x:c>
      <x:c r="E32" s="22" t="n">
        <x:v>46210</x:v>
      </x:c>
      <x:c r="F32" s="22" t="n">
        <x:v>46235</x:v>
      </x:c>
      <x:c r="G32" s="19" t="n">
        <x:v>50</x:v>
      </x:c>
      <x:c r="H32" s="20" t="n">
        <x:v>97.76</x:v>
      </x:c>
      <x:c r="I32" s="19" t="str">
        <x:v>atendido</x:v>
      </x:c>
    </x:row>
    <x:row r="33" ht="15" hidden="0" customHeight="1">
      <x:c r="A33" s="19" t="str">
        <x:v>PV-50031</x:v>
      </x:c>
      <x:c r="B33" s="19" t="str">
        <x:v>Cliente 08</x:v>
      </x:c>
      <x:c r="C33" s="19" t="str">
        <x:v>TR-1009</x:v>
      </x:c>
      <x:c r="D33" s="19" t="str">
        <x:v>Travas e Fechos</x:v>
      </x:c>
      <x:c r="E33" s="22" t="n">
        <x:v>46242</x:v>
      </x:c>
      <x:c r="F33" s="22" t="n">
        <x:v>46268</x:v>
      </x:c>
      <x:c r="G33" s="19" t="n">
        <x:v>100</x:v>
      </x:c>
      <x:c r="H33" s="20" t="n">
        <x:v>135.48</x:v>
      </x:c>
      <x:c r="I33" s="19" t="str">
        <x:v>atendido</x:v>
      </x:c>
    </x:row>
    <x:row r="34" ht="15" hidden="0" customHeight="1">
      <x:c r="A34" s="19" t="str">
        <x:v>PV-50032</x:v>
      </x:c>
      <x:c r="B34" s="19" t="str">
        <x:v>Cliente 01</x:v>
      </x:c>
      <x:c r="C34" s="19" t="str">
        <x:v>PF-1000</x:v>
      </x:c>
      <x:c r="D34" s="19" t="str">
        <x:v>Perfis e Suportes</x:v>
      </x:c>
      <x:c r="E34" s="22" t="n">
        <x:v>46274</x:v>
      </x:c>
      <x:c r="F34" s="22" t="n">
        <x:v>46301</x:v>
      </x:c>
      <x:c r="G34" s="19" t="n">
        <x:v>150</x:v>
      </x:c>
      <x:c r="H34" s="20" t="n">
        <x:v>62.08</x:v>
      </x:c>
      <x:c r="I34" s="19" t="str">
        <x:v>aberto</x:v>
      </x:c>
    </x:row>
    <x:row r="35" ht="15" hidden="0" customHeight="1">
      <x:c r="A35" s="19" t="str">
        <x:v>PV-50033</x:v>
      </x:c>
      <x:c r="B35" s="19" t="str">
        <x:v>Cliente 02</x:v>
      </x:c>
      <x:c r="C35" s="19" t="str">
        <x:v>AC-1003</x:v>
      </x:c>
      <x:c r="D35" s="19" t="str">
        <x:v>Acessórios</x:v>
      </x:c>
      <x:c r="E35" s="22" t="n">
        <x:v>46305</x:v>
      </x:c>
      <x:c r="F35" s="22" t="n">
        <x:v>46333</x:v>
      </x:c>
      <x:c r="G35" s="19" t="n">
        <x:v>200</x:v>
      </x:c>
      <x:c r="H35" s="20" t="n">
        <x:v>35.96</x:v>
      </x:c>
      <x:c r="I35" s="19" t="str">
        <x:v>atendido</x:v>
      </x:c>
    </x:row>
    <x:row r="36" ht="15" hidden="0" customHeight="1">
      <x:c r="A36" s="19" t="str">
        <x:v>PV-50034</x:v>
      </x:c>
      <x:c r="B36" s="19" t="str">
        <x:v>Cliente 03</x:v>
      </x:c>
      <x:c r="C36" s="19" t="str">
        <x:v>DB-1006</x:v>
      </x:c>
      <x:c r="D36" s="19" t="str">
        <x:v>Dobradiças</x:v>
      </x:c>
      <x:c r="E36" s="22" t="n">
        <x:v>46337</x:v>
      </x:c>
      <x:c r="F36" s="22" t="n">
        <x:v>46366</x:v>
      </x:c>
      <x:c r="G36" s="19" t="n">
        <x:v>250</x:v>
      </x:c>
      <x:c r="H36" s="20" t="n">
        <x:v>101.76</x:v>
      </x:c>
      <x:c r="I36" s="19" t="str">
        <x:v>atendido</x:v>
      </x:c>
    </x:row>
    <x:row r="37" ht="15" hidden="0" customHeight="1">
      <x:c r="A37" s="19" t="str">
        <x:v>PV-50035</x:v>
      </x:c>
      <x:c r="B37" s="19" t="str">
        <x:v>Cliente 04</x:v>
      </x:c>
      <x:c r="C37" s="19" t="str">
        <x:v>TR-1009</x:v>
      </x:c>
      <x:c r="D37" s="19" t="str">
        <x:v>Travas e Fechos</x:v>
      </x:c>
      <x:c r="E37" s="22" t="n">
        <x:v>46368</x:v>
      </x:c>
      <x:c r="F37" s="22" t="n">
        <x:v>46398</x:v>
      </x:c>
      <x:c r="G37" s="19" t="n">
        <x:v>300</x:v>
      </x:c>
      <x:c r="H37" s="20" t="n">
        <x:v>132.48</x:v>
      </x:c>
      <x:c r="I37" s="19" t="str">
        <x:v>atendido</x:v>
      </x:c>
    </x:row>
  </x:sheetData>
  <x:dataValidations count="1">
    <x:dataValidation type="list" sqref="I2:I37">
      <x:formula1>"aberto,atendido,cancelado"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563573809947fe"/>
  </x:tableParts>
</x:worksheet>
</file>